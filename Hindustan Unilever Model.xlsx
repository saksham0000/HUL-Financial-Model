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3eb323372a675c0/Desktop/Project/"/>
    </mc:Choice>
  </mc:AlternateContent>
  <xr:revisionPtr revIDLastSave="0" documentId="8_{76173FEA-4DF7-4EBF-9159-52E5B0D9C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" sheetId="34" r:id="rId1"/>
    <sheet name="Relative Valuation" sheetId="37" r:id="rId2"/>
    <sheet name="WACC" sheetId="17" r:id="rId3"/>
    <sheet name="Forecasting" sheetId="15" r:id="rId4"/>
    <sheet name="Intrinsic growth" sheetId="32" r:id="rId5"/>
    <sheet name="Financials &gt;" sheetId="10" r:id="rId6"/>
    <sheet name="Historicals" sheetId="7" r:id="rId7"/>
    <sheet name="Common Size" sheetId="30" r:id="rId8"/>
    <sheet name="Ratio Analysis" sheetId="12" r:id="rId9"/>
    <sheet name="Beta Calculation" sheetId="20" r:id="rId10"/>
    <sheet name="Peer Beta" sheetId="24" r:id="rId11"/>
    <sheet name="Rm" sheetId="28" r:id="rId12"/>
    <sheet name="Data &gt;" sheetId="11" r:id="rId13"/>
    <sheet name="Data Sheet" sheetId="6" r:id="rId14"/>
    <sheet name="RAW FS" sheetId="31" r:id="rId15"/>
    <sheet name="Cash Flow Data" sheetId="9" r:id="rId16"/>
    <sheet name="Market Data" sheetId="38" r:id="rId17"/>
  </sheets>
  <externalReferences>
    <externalReference r:id="rId18"/>
  </externalReferences>
  <definedNames>
    <definedName name="_xlnm._FilterDatabase" localSheetId="9" hidden="1">'Beta Calculation'!$F$9:$H$114</definedName>
    <definedName name="_xlnm.Print_Area" localSheetId="9">'Beta Calculation'!$B$1:$R$114</definedName>
    <definedName name="_xlnm.Print_Area" localSheetId="7">'Common Size'!$B$1:$L$44</definedName>
    <definedName name="_xlnm.Print_Area" localSheetId="0">DCF!$B$1:$J$49</definedName>
    <definedName name="_xlnm.Print_Area" localSheetId="3">Forecasting!$B$1:$O$55</definedName>
    <definedName name="_xlnm.Print_Area" localSheetId="6">Historicals!$B$2:$M$117</definedName>
    <definedName name="_xlnm.Print_Area" localSheetId="4">'Intrinsic growth'!$B$1:$I$69</definedName>
    <definedName name="_xlnm.Print_Area" localSheetId="8">'Ratio Analysis'!$B$1:$O$44</definedName>
    <definedName name="_xlnm.Print_Area" localSheetId="1">'Relative Valuation'!$B$1:$P$39</definedName>
    <definedName name="_xlnm.Print_Area" localSheetId="2">WACC!$B$1:$M$44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28" l="1"/>
  <c r="J17" i="17"/>
  <c r="J16" i="17"/>
  <c r="J15" i="17"/>
  <c r="J14" i="17"/>
  <c r="J13" i="17"/>
  <c r="E47" i="32"/>
  <c r="B28" i="37"/>
  <c r="G11" i="37"/>
  <c r="G12" i="37"/>
  <c r="G13" i="37"/>
  <c r="G14" i="37"/>
  <c r="G15" i="37"/>
  <c r="G16" i="37"/>
  <c r="G17" i="37"/>
  <c r="G18" i="37"/>
  <c r="G19" i="37"/>
  <c r="G10" i="37"/>
  <c r="O31" i="37" s="1"/>
  <c r="I4" i="38"/>
  <c r="I5" i="38"/>
  <c r="I6" i="38"/>
  <c r="I7" i="38"/>
  <c r="I8" i="38"/>
  <c r="I9" i="38"/>
  <c r="I10" i="38"/>
  <c r="I11" i="38"/>
  <c r="I12" i="38"/>
  <c r="I3" i="38"/>
  <c r="L10" i="37"/>
  <c r="L11" i="37"/>
  <c r="L12" i="37"/>
  <c r="L13" i="37"/>
  <c r="L14" i="37"/>
  <c r="L15" i="37"/>
  <c r="L16" i="37"/>
  <c r="L17" i="37"/>
  <c r="L18" i="37"/>
  <c r="L19" i="37"/>
  <c r="K14" i="37"/>
  <c r="K18" i="37"/>
  <c r="J11" i="37"/>
  <c r="J12" i="37"/>
  <c r="J13" i="37"/>
  <c r="J14" i="37"/>
  <c r="J15" i="37"/>
  <c r="J16" i="37"/>
  <c r="J17" i="37"/>
  <c r="J18" i="37"/>
  <c r="J19" i="37"/>
  <c r="J10" i="37"/>
  <c r="H14" i="37"/>
  <c r="O14" i="37" s="1"/>
  <c r="H18" i="37"/>
  <c r="O18" i="37" s="1"/>
  <c r="E10" i="37"/>
  <c r="O33" i="37" s="1"/>
  <c r="E11" i="37"/>
  <c r="E12" i="37"/>
  <c r="E13" i="37"/>
  <c r="F13" i="37"/>
  <c r="E14" i="37"/>
  <c r="E15" i="37"/>
  <c r="E16" i="37"/>
  <c r="E17" i="37"/>
  <c r="F17" i="37"/>
  <c r="E18" i="37"/>
  <c r="E19" i="37"/>
  <c r="D11" i="37"/>
  <c r="D12" i="37"/>
  <c r="D13" i="37"/>
  <c r="D14" i="37"/>
  <c r="D15" i="37"/>
  <c r="D16" i="37"/>
  <c r="D17" i="37"/>
  <c r="D18" i="37"/>
  <c r="D19" i="37"/>
  <c r="D10" i="37"/>
  <c r="M4" i="38"/>
  <c r="K11" i="37" s="1"/>
  <c r="M5" i="38"/>
  <c r="K12" i="37" s="1"/>
  <c r="M6" i="38"/>
  <c r="K13" i="37" s="1"/>
  <c r="M7" i="38"/>
  <c r="M8" i="38"/>
  <c r="K15" i="37" s="1"/>
  <c r="M9" i="38"/>
  <c r="K16" i="37" s="1"/>
  <c r="M10" i="38"/>
  <c r="K17" i="37" s="1"/>
  <c r="M11" i="38"/>
  <c r="M12" i="38"/>
  <c r="K19" i="37" s="1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3" i="38"/>
  <c r="K10" i="37" s="1"/>
  <c r="F4" i="38"/>
  <c r="J4" i="38" s="1"/>
  <c r="H11" i="37" s="1"/>
  <c r="F5" i="38"/>
  <c r="J5" i="38" s="1"/>
  <c r="H12" i="37" s="1"/>
  <c r="F6" i="38"/>
  <c r="J6" i="38" s="1"/>
  <c r="H13" i="37" s="1"/>
  <c r="F7" i="38"/>
  <c r="J7" i="38" s="1"/>
  <c r="F8" i="38"/>
  <c r="J8" i="38" s="1"/>
  <c r="H15" i="37" s="1"/>
  <c r="F9" i="38"/>
  <c r="J9" i="38" s="1"/>
  <c r="H16" i="37" s="1"/>
  <c r="F10" i="38"/>
  <c r="J10" i="38" s="1"/>
  <c r="H17" i="37" s="1"/>
  <c r="F11" i="38"/>
  <c r="J11" i="38" s="1"/>
  <c r="F12" i="38"/>
  <c r="J12" i="38" s="1"/>
  <c r="H19" i="37" s="1"/>
  <c r="F32" i="38"/>
  <c r="J32" i="38" s="1"/>
  <c r="F33" i="38"/>
  <c r="J33" i="38" s="1"/>
  <c r="F34" i="38"/>
  <c r="J34" i="38" s="1"/>
  <c r="F35" i="38"/>
  <c r="J35" i="38" s="1"/>
  <c r="F36" i="38"/>
  <c r="J36" i="38" s="1"/>
  <c r="F37" i="38"/>
  <c r="J37" i="38" s="1"/>
  <c r="F38" i="38"/>
  <c r="J38" i="38" s="1"/>
  <c r="F39" i="38"/>
  <c r="J39" i="38" s="1"/>
  <c r="F40" i="38"/>
  <c r="J40" i="38" s="1"/>
  <c r="F41" i="38"/>
  <c r="J41" i="38" s="1"/>
  <c r="F42" i="38"/>
  <c r="J42" i="38" s="1"/>
  <c r="F43" i="38"/>
  <c r="J43" i="38" s="1"/>
  <c r="F44" i="38"/>
  <c r="J44" i="38" s="1"/>
  <c r="F45" i="38"/>
  <c r="J45" i="38" s="1"/>
  <c r="F46" i="38"/>
  <c r="J46" i="38" s="1"/>
  <c r="F3" i="38"/>
  <c r="J3" i="38" s="1"/>
  <c r="H10" i="37" s="1"/>
  <c r="C35" i="17"/>
  <c r="C34" i="17"/>
  <c r="F47" i="32"/>
  <c r="G47" i="32"/>
  <c r="H47" i="32"/>
  <c r="I47" i="32"/>
  <c r="N31" i="37" l="1"/>
  <c r="P31" i="37"/>
  <c r="N33" i="37"/>
  <c r="P17" i="37"/>
  <c r="N16" i="37"/>
  <c r="N12" i="37"/>
  <c r="P13" i="37"/>
  <c r="P33" i="37"/>
  <c r="N19" i="37"/>
  <c r="O19" i="37"/>
  <c r="N10" i="37"/>
  <c r="O10" i="37"/>
  <c r="N15" i="37"/>
  <c r="O15" i="37"/>
  <c r="N11" i="37"/>
  <c r="O11" i="37"/>
  <c r="O17" i="37"/>
  <c r="O13" i="37"/>
  <c r="F18" i="37"/>
  <c r="P18" i="37" s="1"/>
  <c r="F16" i="37"/>
  <c r="P16" i="37" s="1"/>
  <c r="F14" i="37"/>
  <c r="P14" i="37" s="1"/>
  <c r="F12" i="37"/>
  <c r="P12" i="37" s="1"/>
  <c r="F10" i="37"/>
  <c r="P10" i="37" s="1"/>
  <c r="F19" i="37"/>
  <c r="P19" i="37" s="1"/>
  <c r="F15" i="37"/>
  <c r="P15" i="37" s="1"/>
  <c r="F11" i="37"/>
  <c r="P11" i="37" s="1"/>
  <c r="N14" i="37"/>
  <c r="N17" i="37"/>
  <c r="N13" i="37"/>
  <c r="O16" i="37"/>
  <c r="O12" i="37"/>
  <c r="N18" i="37"/>
  <c r="C38" i="17"/>
  <c r="L8" i="15"/>
  <c r="L11" i="15"/>
  <c r="L12" i="15" s="1"/>
  <c r="L13" i="15" s="1"/>
  <c r="L14" i="15" s="1"/>
  <c r="L15" i="15" s="1"/>
  <c r="L16" i="15" s="1"/>
  <c r="L17" i="15" s="1"/>
  <c r="L18" i="15" s="1"/>
  <c r="L19" i="15" s="1"/>
  <c r="L20" i="15" s="1"/>
  <c r="M10" i="15"/>
  <c r="M11" i="15" s="1"/>
  <c r="M12" i="15" s="1"/>
  <c r="M13" i="15" s="1"/>
  <c r="M14" i="15" s="1"/>
  <c r="M15" i="15" s="1"/>
  <c r="M16" i="15" s="1"/>
  <c r="M17" i="15" s="1"/>
  <c r="M18" i="15" s="1"/>
  <c r="M19" i="15" s="1"/>
  <c r="M20" i="15" s="1"/>
  <c r="M21" i="15" s="1"/>
  <c r="M22" i="15" s="1"/>
  <c r="M23" i="15" s="1"/>
  <c r="M24" i="15" s="1"/>
  <c r="C40" i="34"/>
  <c r="C41" i="34"/>
  <c r="C44" i="34"/>
  <c r="P113" i="24"/>
  <c r="X113" i="24"/>
  <c r="X8" i="24"/>
  <c r="X9" i="24"/>
  <c r="X10" i="24"/>
  <c r="X11" i="24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X42" i="24"/>
  <c r="X43" i="24"/>
  <c r="X44" i="24"/>
  <c r="X45" i="24"/>
  <c r="X46" i="24"/>
  <c r="X47" i="24"/>
  <c r="X48" i="24"/>
  <c r="X49" i="24"/>
  <c r="X50" i="24"/>
  <c r="X51" i="24"/>
  <c r="X52" i="24"/>
  <c r="X53" i="24"/>
  <c r="X54" i="24"/>
  <c r="X55" i="24"/>
  <c r="X56" i="24"/>
  <c r="X57" i="24"/>
  <c r="X58" i="24"/>
  <c r="X59" i="24"/>
  <c r="X60" i="24"/>
  <c r="X61" i="24"/>
  <c r="X62" i="24"/>
  <c r="X63" i="24"/>
  <c r="X64" i="24"/>
  <c r="X65" i="24"/>
  <c r="X66" i="24"/>
  <c r="X67" i="24"/>
  <c r="X68" i="24"/>
  <c r="X69" i="24"/>
  <c r="X70" i="24"/>
  <c r="X71" i="24"/>
  <c r="X72" i="24"/>
  <c r="X73" i="24"/>
  <c r="X74" i="24"/>
  <c r="X75" i="24"/>
  <c r="X76" i="24"/>
  <c r="X77" i="24"/>
  <c r="X78" i="24"/>
  <c r="X79" i="24"/>
  <c r="X80" i="24"/>
  <c r="X81" i="24"/>
  <c r="X82" i="24"/>
  <c r="X83" i="24"/>
  <c r="X84" i="24"/>
  <c r="X85" i="24"/>
  <c r="X86" i="24"/>
  <c r="X87" i="24"/>
  <c r="X88" i="24"/>
  <c r="X89" i="24"/>
  <c r="X90" i="24"/>
  <c r="X91" i="24"/>
  <c r="X92" i="24"/>
  <c r="X93" i="24"/>
  <c r="X94" i="24"/>
  <c r="X95" i="24"/>
  <c r="X96" i="24"/>
  <c r="X97" i="24"/>
  <c r="X98" i="24"/>
  <c r="X99" i="24"/>
  <c r="X100" i="24"/>
  <c r="X101" i="24"/>
  <c r="X102" i="24"/>
  <c r="X103" i="24"/>
  <c r="X104" i="24"/>
  <c r="X105" i="24"/>
  <c r="X106" i="24"/>
  <c r="X107" i="24"/>
  <c r="X108" i="24"/>
  <c r="X109" i="24"/>
  <c r="X110" i="24"/>
  <c r="X7" i="24"/>
  <c r="V4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P106" i="24"/>
  <c r="P107" i="24"/>
  <c r="P108" i="24"/>
  <c r="P109" i="24"/>
  <c r="P110" i="24"/>
  <c r="P7" i="24"/>
  <c r="R4" i="24"/>
  <c r="N4" i="24"/>
  <c r="H17" i="17"/>
  <c r="I17" i="17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L44" i="24"/>
  <c r="L45" i="24"/>
  <c r="L46" i="24"/>
  <c r="L47" i="24"/>
  <c r="L48" i="24"/>
  <c r="L49" i="24"/>
  <c r="L50" i="24"/>
  <c r="L51" i="24"/>
  <c r="L52" i="24"/>
  <c r="L53" i="24"/>
  <c r="L54" i="24"/>
  <c r="L55" i="24"/>
  <c r="L56" i="24"/>
  <c r="L57" i="24"/>
  <c r="L58" i="24"/>
  <c r="L59" i="24"/>
  <c r="L60" i="24"/>
  <c r="L61" i="24"/>
  <c r="L62" i="24"/>
  <c r="L63" i="24"/>
  <c r="L64" i="24"/>
  <c r="L65" i="24"/>
  <c r="L66" i="24"/>
  <c r="L67" i="24"/>
  <c r="L68" i="24"/>
  <c r="L69" i="24"/>
  <c r="L70" i="24"/>
  <c r="L71" i="24"/>
  <c r="L72" i="24"/>
  <c r="L73" i="24"/>
  <c r="L74" i="24"/>
  <c r="L75" i="24"/>
  <c r="L76" i="24"/>
  <c r="L77" i="24"/>
  <c r="L78" i="24"/>
  <c r="L79" i="24"/>
  <c r="L80" i="24"/>
  <c r="L81" i="24"/>
  <c r="L82" i="24"/>
  <c r="L83" i="24"/>
  <c r="L84" i="24"/>
  <c r="L85" i="24"/>
  <c r="L86" i="24"/>
  <c r="L87" i="24"/>
  <c r="L88" i="24"/>
  <c r="L89" i="24"/>
  <c r="L90" i="24"/>
  <c r="L91" i="24"/>
  <c r="L92" i="24"/>
  <c r="L93" i="24"/>
  <c r="L94" i="24"/>
  <c r="L95" i="24"/>
  <c r="L96" i="24"/>
  <c r="L97" i="24"/>
  <c r="L98" i="24"/>
  <c r="L99" i="24"/>
  <c r="L100" i="24"/>
  <c r="L101" i="24"/>
  <c r="L102" i="24"/>
  <c r="L103" i="24"/>
  <c r="L104" i="24"/>
  <c r="L105" i="24"/>
  <c r="L106" i="24"/>
  <c r="L107" i="24"/>
  <c r="L108" i="24"/>
  <c r="L109" i="24"/>
  <c r="L110" i="24"/>
  <c r="L7" i="24"/>
  <c r="J4" i="24"/>
  <c r="F4" i="24"/>
  <c r="B8" i="20"/>
  <c r="K11" i="20"/>
  <c r="O25" i="37" l="1"/>
  <c r="P22" i="37"/>
  <c r="O23" i="37"/>
  <c r="P24" i="37"/>
  <c r="P30" i="37" s="1"/>
  <c r="P32" i="37" s="1"/>
  <c r="P35" i="37" s="1"/>
  <c r="P38" i="37" s="1"/>
  <c r="P26" i="37"/>
  <c r="O26" i="37"/>
  <c r="P21" i="37"/>
  <c r="P25" i="37"/>
  <c r="O24" i="37"/>
  <c r="O30" i="37" s="1"/>
  <c r="O32" i="37" s="1"/>
  <c r="O35" i="37" s="1"/>
  <c r="O38" i="37" s="1"/>
  <c r="N22" i="37"/>
  <c r="P23" i="37"/>
  <c r="O22" i="37"/>
  <c r="N25" i="37"/>
  <c r="N26" i="37"/>
  <c r="N24" i="37"/>
  <c r="N30" i="37" s="1"/>
  <c r="N32" i="37" s="1"/>
  <c r="N35" i="37" s="1"/>
  <c r="N38" i="37" s="1"/>
  <c r="N23" i="37"/>
  <c r="N21" i="37"/>
  <c r="O21" i="37"/>
  <c r="L21" i="15"/>
  <c r="L22" i="15" l="1"/>
  <c r="L23" i="15" l="1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" i="20"/>
  <c r="C30" i="34"/>
  <c r="F17" i="34"/>
  <c r="G17" i="34" s="1"/>
  <c r="H17" i="34" s="1"/>
  <c r="I17" i="34" s="1"/>
  <c r="E13" i="34"/>
  <c r="F13" i="34" s="1"/>
  <c r="G13" i="34" s="1"/>
  <c r="H13" i="34" s="1"/>
  <c r="I13" i="34" s="1"/>
  <c r="D10" i="34"/>
  <c r="E10" i="34" s="1"/>
  <c r="F10" i="34" s="1"/>
  <c r="G10" i="34" s="1"/>
  <c r="H10" i="34" s="1"/>
  <c r="I10" i="34" s="1"/>
  <c r="F36" i="32"/>
  <c r="G36" i="32"/>
  <c r="H36" i="32"/>
  <c r="I36" i="32"/>
  <c r="E36" i="32"/>
  <c r="D13" i="7"/>
  <c r="E13" i="7"/>
  <c r="F13" i="7"/>
  <c r="G13" i="7"/>
  <c r="H13" i="7"/>
  <c r="I13" i="7"/>
  <c r="J13" i="7"/>
  <c r="K13" i="7"/>
  <c r="L13" i="7"/>
  <c r="M13" i="7"/>
  <c r="C13" i="7"/>
  <c r="D106" i="7"/>
  <c r="E106" i="7"/>
  <c r="F106" i="7"/>
  <c r="G106" i="7"/>
  <c r="H106" i="7"/>
  <c r="I106" i="7"/>
  <c r="J106" i="7"/>
  <c r="K106" i="7"/>
  <c r="L106" i="7"/>
  <c r="D107" i="7"/>
  <c r="E107" i="7"/>
  <c r="F107" i="7"/>
  <c r="G107" i="7"/>
  <c r="H107" i="7"/>
  <c r="I107" i="7"/>
  <c r="J107" i="7"/>
  <c r="K107" i="7"/>
  <c r="L107" i="7"/>
  <c r="D108" i="7"/>
  <c r="E108" i="7"/>
  <c r="F108" i="7"/>
  <c r="G108" i="7"/>
  <c r="H108" i="7"/>
  <c r="I108" i="7"/>
  <c r="J108" i="7"/>
  <c r="K108" i="7"/>
  <c r="L108" i="7"/>
  <c r="D109" i="7"/>
  <c r="E109" i="7"/>
  <c r="F109" i="7"/>
  <c r="G109" i="7"/>
  <c r="H109" i="7"/>
  <c r="I109" i="7"/>
  <c r="J109" i="7"/>
  <c r="K109" i="7"/>
  <c r="L109" i="7"/>
  <c r="D110" i="7"/>
  <c r="E110" i="7"/>
  <c r="F110" i="7"/>
  <c r="G110" i="7"/>
  <c r="H110" i="7"/>
  <c r="I110" i="7"/>
  <c r="J110" i="7"/>
  <c r="K110" i="7"/>
  <c r="L110" i="7"/>
  <c r="D111" i="7"/>
  <c r="E111" i="7"/>
  <c r="F111" i="7"/>
  <c r="G111" i="7"/>
  <c r="H111" i="7"/>
  <c r="I111" i="7"/>
  <c r="J111" i="7"/>
  <c r="K111" i="7"/>
  <c r="L111" i="7"/>
  <c r="D112" i="7"/>
  <c r="E112" i="7"/>
  <c r="F112" i="7"/>
  <c r="G112" i="7"/>
  <c r="H112" i="7"/>
  <c r="I112" i="7"/>
  <c r="J112" i="7"/>
  <c r="K112" i="7"/>
  <c r="L112" i="7"/>
  <c r="C107" i="7"/>
  <c r="C108" i="7"/>
  <c r="C109" i="7"/>
  <c r="C110" i="7"/>
  <c r="C111" i="7"/>
  <c r="C112" i="7"/>
  <c r="C106" i="7"/>
  <c r="D101" i="7"/>
  <c r="E101" i="7"/>
  <c r="F101" i="7"/>
  <c r="G101" i="7"/>
  <c r="H101" i="7"/>
  <c r="I101" i="7"/>
  <c r="J101" i="7"/>
  <c r="K101" i="7"/>
  <c r="L101" i="7"/>
  <c r="D102" i="7"/>
  <c r="E102" i="7"/>
  <c r="F102" i="7"/>
  <c r="G102" i="7"/>
  <c r="H102" i="7"/>
  <c r="I102" i="7"/>
  <c r="J102" i="7"/>
  <c r="K102" i="7"/>
  <c r="L102" i="7"/>
  <c r="C102" i="7"/>
  <c r="D92" i="7"/>
  <c r="E92" i="7"/>
  <c r="F92" i="7"/>
  <c r="G92" i="7"/>
  <c r="H92" i="7"/>
  <c r="I92" i="7"/>
  <c r="J92" i="7"/>
  <c r="K92" i="7"/>
  <c r="L92" i="7"/>
  <c r="D93" i="7"/>
  <c r="E93" i="7"/>
  <c r="F93" i="7"/>
  <c r="G93" i="7"/>
  <c r="H93" i="7"/>
  <c r="I93" i="7"/>
  <c r="J93" i="7"/>
  <c r="K93" i="7"/>
  <c r="L93" i="7"/>
  <c r="D94" i="7"/>
  <c r="E94" i="7"/>
  <c r="F94" i="7"/>
  <c r="G94" i="7"/>
  <c r="H94" i="7"/>
  <c r="I94" i="7"/>
  <c r="J94" i="7"/>
  <c r="K94" i="7"/>
  <c r="L94" i="7"/>
  <c r="D95" i="7"/>
  <c r="E95" i="7"/>
  <c r="F95" i="7"/>
  <c r="G95" i="7"/>
  <c r="H95" i="7"/>
  <c r="I95" i="7"/>
  <c r="J95" i="7"/>
  <c r="K95" i="7"/>
  <c r="L95" i="7"/>
  <c r="D96" i="7"/>
  <c r="E96" i="7"/>
  <c r="F96" i="7"/>
  <c r="G96" i="7"/>
  <c r="H96" i="7"/>
  <c r="I96" i="7"/>
  <c r="J96" i="7"/>
  <c r="K96" i="7"/>
  <c r="L96" i="7"/>
  <c r="D97" i="7"/>
  <c r="E97" i="7"/>
  <c r="F97" i="7"/>
  <c r="G97" i="7"/>
  <c r="H97" i="7"/>
  <c r="I97" i="7"/>
  <c r="J97" i="7"/>
  <c r="K97" i="7"/>
  <c r="L97" i="7"/>
  <c r="D98" i="7"/>
  <c r="E98" i="7"/>
  <c r="F98" i="7"/>
  <c r="G98" i="7"/>
  <c r="H98" i="7"/>
  <c r="I98" i="7"/>
  <c r="J98" i="7"/>
  <c r="K98" i="7"/>
  <c r="L98" i="7"/>
  <c r="D99" i="7"/>
  <c r="E99" i="7"/>
  <c r="F99" i="7"/>
  <c r="G99" i="7"/>
  <c r="H99" i="7"/>
  <c r="I99" i="7"/>
  <c r="J99" i="7"/>
  <c r="K99" i="7"/>
  <c r="L99" i="7"/>
  <c r="D100" i="7"/>
  <c r="E100" i="7"/>
  <c r="F100" i="7"/>
  <c r="G100" i="7"/>
  <c r="H100" i="7"/>
  <c r="I100" i="7"/>
  <c r="J100" i="7"/>
  <c r="K100" i="7"/>
  <c r="L100" i="7"/>
  <c r="C93" i="7"/>
  <c r="C94" i="7"/>
  <c r="C95" i="7"/>
  <c r="C96" i="7"/>
  <c r="C97" i="7"/>
  <c r="C98" i="7"/>
  <c r="C99" i="7"/>
  <c r="C100" i="7"/>
  <c r="C101" i="7"/>
  <c r="C92" i="7"/>
  <c r="D88" i="7"/>
  <c r="E88" i="7"/>
  <c r="F88" i="7"/>
  <c r="G88" i="7"/>
  <c r="H88" i="7"/>
  <c r="I88" i="7"/>
  <c r="J88" i="7"/>
  <c r="K88" i="7"/>
  <c r="L88" i="7"/>
  <c r="C88" i="7"/>
  <c r="D87" i="7"/>
  <c r="E87" i="7"/>
  <c r="F87" i="7"/>
  <c r="G87" i="7"/>
  <c r="H87" i="7"/>
  <c r="I87" i="7"/>
  <c r="J87" i="7"/>
  <c r="K87" i="7"/>
  <c r="L87" i="7"/>
  <c r="C87" i="7"/>
  <c r="D86" i="7"/>
  <c r="E86" i="7"/>
  <c r="F86" i="7"/>
  <c r="G86" i="7"/>
  <c r="H86" i="7"/>
  <c r="I86" i="7"/>
  <c r="J86" i="7"/>
  <c r="K86" i="7"/>
  <c r="L86" i="7"/>
  <c r="C86" i="7"/>
  <c r="D84" i="7"/>
  <c r="E84" i="7"/>
  <c r="F84" i="7"/>
  <c r="G84" i="7"/>
  <c r="H84" i="7"/>
  <c r="I84" i="7"/>
  <c r="J84" i="7"/>
  <c r="K84" i="7"/>
  <c r="L84" i="7"/>
  <c r="C84" i="7"/>
  <c r="D44" i="31"/>
  <c r="E44" i="31"/>
  <c r="F44" i="31"/>
  <c r="G44" i="31"/>
  <c r="H44" i="31"/>
  <c r="I44" i="31"/>
  <c r="J44" i="31"/>
  <c r="K44" i="31"/>
  <c r="L44" i="31"/>
  <c r="M44" i="31"/>
  <c r="N44" i="31"/>
  <c r="C44" i="31"/>
  <c r="D31" i="31"/>
  <c r="D33" i="31" s="1"/>
  <c r="E31" i="31"/>
  <c r="F31" i="31"/>
  <c r="G31" i="31"/>
  <c r="G33" i="31" s="1"/>
  <c r="H31" i="31"/>
  <c r="H33" i="31" s="1"/>
  <c r="I31" i="31"/>
  <c r="J31" i="31"/>
  <c r="K31" i="31"/>
  <c r="K33" i="31" s="1"/>
  <c r="L31" i="31"/>
  <c r="L33" i="31" s="1"/>
  <c r="M31" i="31"/>
  <c r="N31" i="31"/>
  <c r="C31" i="31"/>
  <c r="D19" i="31"/>
  <c r="E19" i="31"/>
  <c r="F19" i="31"/>
  <c r="G19" i="31"/>
  <c r="H19" i="31"/>
  <c r="I19" i="31"/>
  <c r="J19" i="31"/>
  <c r="K19" i="31"/>
  <c r="L19" i="31"/>
  <c r="M19" i="31"/>
  <c r="N19" i="31"/>
  <c r="C19" i="31"/>
  <c r="D10" i="15" a="1"/>
  <c r="D10" i="15" s="1"/>
  <c r="I62" i="32"/>
  <c r="H62" i="32"/>
  <c r="G62" i="32"/>
  <c r="F62" i="32"/>
  <c r="E62" i="32"/>
  <c r="I45" i="32"/>
  <c r="H45" i="32"/>
  <c r="G45" i="32"/>
  <c r="F45" i="32"/>
  <c r="E45" i="32"/>
  <c r="F5" i="32"/>
  <c r="G5" i="32"/>
  <c r="H5" i="32"/>
  <c r="I5" i="32"/>
  <c r="E5" i="32"/>
  <c r="F25" i="32"/>
  <c r="G25" i="32"/>
  <c r="H25" i="32"/>
  <c r="I25" i="32"/>
  <c r="F26" i="32"/>
  <c r="G26" i="32"/>
  <c r="H26" i="32"/>
  <c r="I26" i="32"/>
  <c r="F27" i="32"/>
  <c r="G27" i="32"/>
  <c r="H27" i="32"/>
  <c r="I27" i="32"/>
  <c r="F28" i="32"/>
  <c r="G28" i="32"/>
  <c r="H28" i="32"/>
  <c r="I28" i="32"/>
  <c r="F29" i="32"/>
  <c r="G29" i="32"/>
  <c r="H29" i="32"/>
  <c r="I29" i="32"/>
  <c r="F30" i="32"/>
  <c r="G30" i="32"/>
  <c r="H30" i="32"/>
  <c r="I30" i="32"/>
  <c r="F31" i="32"/>
  <c r="G31" i="32"/>
  <c r="H31" i="32"/>
  <c r="I31" i="32"/>
  <c r="F32" i="32"/>
  <c r="G32" i="32"/>
  <c r="H32" i="32"/>
  <c r="I32" i="32"/>
  <c r="F33" i="32"/>
  <c r="G33" i="32"/>
  <c r="H33" i="32"/>
  <c r="I33" i="32"/>
  <c r="E26" i="32"/>
  <c r="E27" i="32"/>
  <c r="E28" i="32"/>
  <c r="E29" i="32"/>
  <c r="E30" i="32"/>
  <c r="E31" i="32"/>
  <c r="E32" i="32"/>
  <c r="E33" i="32"/>
  <c r="E25" i="32"/>
  <c r="F16" i="32"/>
  <c r="G16" i="32"/>
  <c r="H16" i="32"/>
  <c r="I16" i="32"/>
  <c r="F17" i="32"/>
  <c r="G17" i="32"/>
  <c r="H17" i="32"/>
  <c r="I17" i="32"/>
  <c r="F18" i="32"/>
  <c r="G18" i="32"/>
  <c r="H18" i="32"/>
  <c r="I18" i="32"/>
  <c r="E17" i="32"/>
  <c r="E18" i="32"/>
  <c r="E16" i="32"/>
  <c r="F8" i="32"/>
  <c r="G8" i="32"/>
  <c r="H8" i="32"/>
  <c r="I8" i="32"/>
  <c r="F9" i="32"/>
  <c r="G9" i="32"/>
  <c r="H9" i="32"/>
  <c r="I9" i="32"/>
  <c r="F10" i="32"/>
  <c r="G10" i="32"/>
  <c r="H10" i="32"/>
  <c r="I10" i="32"/>
  <c r="F11" i="32"/>
  <c r="G11" i="32"/>
  <c r="H11" i="32"/>
  <c r="I11" i="32"/>
  <c r="F12" i="32"/>
  <c r="G12" i="32"/>
  <c r="H12" i="32"/>
  <c r="I12" i="32"/>
  <c r="E9" i="32"/>
  <c r="G13" i="32"/>
  <c r="E10" i="32"/>
  <c r="E11" i="32"/>
  <c r="E12" i="32"/>
  <c r="E8" i="32"/>
  <c r="B37" i="32"/>
  <c r="B26" i="32"/>
  <c r="B27" i="32"/>
  <c r="B28" i="32"/>
  <c r="B29" i="32"/>
  <c r="B30" i="32"/>
  <c r="B31" i="32"/>
  <c r="B32" i="32"/>
  <c r="B33" i="32"/>
  <c r="B35" i="32"/>
  <c r="B36" i="32"/>
  <c r="B25" i="32"/>
  <c r="B17" i="32"/>
  <c r="B18" i="32"/>
  <c r="B16" i="32"/>
  <c r="B9" i="32"/>
  <c r="B10" i="32"/>
  <c r="B11" i="32"/>
  <c r="B12" i="32"/>
  <c r="B8" i="32"/>
  <c r="E33" i="31"/>
  <c r="F33" i="31"/>
  <c r="I33" i="31"/>
  <c r="J33" i="31"/>
  <c r="M33" i="31"/>
  <c r="N33" i="31"/>
  <c r="C33" i="31"/>
  <c r="B25" i="30"/>
  <c r="B8" i="30"/>
  <c r="B5" i="30"/>
  <c r="D44" i="30"/>
  <c r="E44" i="30"/>
  <c r="F44" i="30"/>
  <c r="G44" i="30"/>
  <c r="H44" i="30"/>
  <c r="I44" i="30"/>
  <c r="J44" i="30"/>
  <c r="K44" i="30"/>
  <c r="L44" i="30"/>
  <c r="C44" i="30"/>
  <c r="D41" i="30"/>
  <c r="E41" i="30"/>
  <c r="F41" i="30"/>
  <c r="G41" i="30"/>
  <c r="H41" i="30"/>
  <c r="I41" i="30"/>
  <c r="J41" i="30"/>
  <c r="K41" i="30"/>
  <c r="L41" i="30"/>
  <c r="D42" i="30"/>
  <c r="E42" i="30"/>
  <c r="F42" i="30"/>
  <c r="G42" i="30"/>
  <c r="H42" i="30"/>
  <c r="I42" i="30"/>
  <c r="J42" i="30"/>
  <c r="K42" i="30"/>
  <c r="L42" i="30"/>
  <c r="D43" i="30"/>
  <c r="E43" i="30"/>
  <c r="F43" i="30"/>
  <c r="G43" i="30"/>
  <c r="H43" i="30"/>
  <c r="I43" i="30"/>
  <c r="J43" i="30"/>
  <c r="K43" i="30"/>
  <c r="L43" i="30"/>
  <c r="C42" i="30"/>
  <c r="C43" i="30"/>
  <c r="C41" i="30"/>
  <c r="D39" i="30"/>
  <c r="E39" i="30"/>
  <c r="F39" i="30"/>
  <c r="G39" i="30"/>
  <c r="H39" i="30"/>
  <c r="I39" i="30"/>
  <c r="J39" i="30"/>
  <c r="K39" i="30"/>
  <c r="L39" i="30"/>
  <c r="C39" i="30"/>
  <c r="D36" i="30"/>
  <c r="E36" i="30"/>
  <c r="F36" i="30"/>
  <c r="G36" i="30"/>
  <c r="H36" i="30"/>
  <c r="I36" i="30"/>
  <c r="J36" i="30"/>
  <c r="K36" i="30"/>
  <c r="L36" i="30"/>
  <c r="D37" i="30"/>
  <c r="E37" i="30"/>
  <c r="F37" i="30"/>
  <c r="G37" i="30"/>
  <c r="H37" i="30"/>
  <c r="I37" i="30"/>
  <c r="J37" i="30"/>
  <c r="K37" i="30"/>
  <c r="L37" i="30"/>
  <c r="D38" i="30"/>
  <c r="E38" i="30"/>
  <c r="F38" i="30"/>
  <c r="G38" i="30"/>
  <c r="H38" i="30"/>
  <c r="I38" i="30"/>
  <c r="J38" i="30"/>
  <c r="K38" i="30"/>
  <c r="L38" i="30"/>
  <c r="C37" i="30"/>
  <c r="C38" i="30"/>
  <c r="C36" i="30"/>
  <c r="D29" i="30"/>
  <c r="E29" i="30"/>
  <c r="F29" i="30"/>
  <c r="G29" i="30"/>
  <c r="H29" i="30"/>
  <c r="I29" i="30"/>
  <c r="J29" i="30"/>
  <c r="K29" i="30"/>
  <c r="L29" i="30"/>
  <c r="D30" i="30"/>
  <c r="E30" i="30"/>
  <c r="F30" i="30"/>
  <c r="G30" i="30"/>
  <c r="H30" i="30"/>
  <c r="I30" i="30"/>
  <c r="J30" i="30"/>
  <c r="K30" i="30"/>
  <c r="L30" i="30"/>
  <c r="D31" i="30"/>
  <c r="E31" i="30"/>
  <c r="F31" i="30"/>
  <c r="G31" i="30"/>
  <c r="H31" i="30"/>
  <c r="I31" i="30"/>
  <c r="J31" i="30"/>
  <c r="K31" i="30"/>
  <c r="L31" i="30"/>
  <c r="D32" i="30"/>
  <c r="E32" i="30"/>
  <c r="F32" i="30"/>
  <c r="G32" i="30"/>
  <c r="H32" i="30"/>
  <c r="I32" i="30"/>
  <c r="J32" i="30"/>
  <c r="K32" i="30"/>
  <c r="L32" i="30"/>
  <c r="D27" i="30"/>
  <c r="E27" i="30"/>
  <c r="F27" i="30"/>
  <c r="G27" i="30"/>
  <c r="H27" i="30"/>
  <c r="I27" i="30"/>
  <c r="J27" i="30"/>
  <c r="K27" i="30"/>
  <c r="L27" i="30"/>
  <c r="C30" i="30"/>
  <c r="C31" i="30"/>
  <c r="C32" i="30"/>
  <c r="C27" i="30"/>
  <c r="C29" i="30"/>
  <c r="D10" i="30"/>
  <c r="E10" i="30"/>
  <c r="F10" i="30"/>
  <c r="G10" i="30"/>
  <c r="H10" i="30"/>
  <c r="I10" i="30"/>
  <c r="J10" i="30"/>
  <c r="K10" i="30"/>
  <c r="L10" i="30"/>
  <c r="D11" i="30"/>
  <c r="E11" i="30"/>
  <c r="F11" i="30"/>
  <c r="G11" i="30"/>
  <c r="H11" i="30"/>
  <c r="I11" i="30"/>
  <c r="J11" i="30"/>
  <c r="K11" i="30"/>
  <c r="L11" i="30"/>
  <c r="D12" i="30"/>
  <c r="E12" i="30"/>
  <c r="F12" i="30"/>
  <c r="G12" i="30"/>
  <c r="H12" i="30"/>
  <c r="I12" i="30"/>
  <c r="J12" i="30"/>
  <c r="K12" i="30"/>
  <c r="L12" i="30"/>
  <c r="D13" i="30"/>
  <c r="E13" i="30"/>
  <c r="F13" i="30"/>
  <c r="G13" i="30"/>
  <c r="H13" i="30"/>
  <c r="I13" i="30"/>
  <c r="J13" i="30"/>
  <c r="K13" i="30"/>
  <c r="L13" i="30"/>
  <c r="D14" i="30"/>
  <c r="E14" i="30"/>
  <c r="F14" i="30"/>
  <c r="G14" i="30"/>
  <c r="H14" i="30"/>
  <c r="I14" i="30"/>
  <c r="J14" i="30"/>
  <c r="K14" i="30"/>
  <c r="L14" i="30"/>
  <c r="D15" i="30"/>
  <c r="E15" i="30"/>
  <c r="F15" i="30"/>
  <c r="G15" i="30"/>
  <c r="H15" i="30"/>
  <c r="I15" i="30"/>
  <c r="J15" i="30"/>
  <c r="K15" i="30"/>
  <c r="L15" i="30"/>
  <c r="D16" i="30"/>
  <c r="E16" i="30"/>
  <c r="F16" i="30"/>
  <c r="G16" i="30"/>
  <c r="H16" i="30"/>
  <c r="I16" i="30"/>
  <c r="J16" i="30"/>
  <c r="K16" i="30"/>
  <c r="L16" i="30"/>
  <c r="D17" i="30"/>
  <c r="E17" i="30"/>
  <c r="F17" i="30"/>
  <c r="G17" i="30"/>
  <c r="H17" i="30"/>
  <c r="I17" i="30"/>
  <c r="J17" i="30"/>
  <c r="K17" i="30"/>
  <c r="L17" i="30"/>
  <c r="D18" i="30"/>
  <c r="E18" i="30"/>
  <c r="F18" i="30"/>
  <c r="G18" i="30"/>
  <c r="H18" i="30"/>
  <c r="I18" i="30"/>
  <c r="J18" i="30"/>
  <c r="K18" i="30"/>
  <c r="L18" i="30"/>
  <c r="D19" i="30"/>
  <c r="E19" i="30"/>
  <c r="F19" i="30"/>
  <c r="G19" i="30"/>
  <c r="H19" i="30"/>
  <c r="I19" i="30"/>
  <c r="J19" i="30"/>
  <c r="K19" i="30"/>
  <c r="L19" i="30"/>
  <c r="D20" i="30"/>
  <c r="E20" i="30"/>
  <c r="F20" i="30"/>
  <c r="G20" i="30"/>
  <c r="H20" i="30"/>
  <c r="I20" i="30"/>
  <c r="J20" i="30"/>
  <c r="K20" i="30"/>
  <c r="L20" i="30"/>
  <c r="D21" i="30"/>
  <c r="E21" i="30"/>
  <c r="F21" i="30"/>
  <c r="G21" i="30"/>
  <c r="H21" i="30"/>
  <c r="I21" i="30"/>
  <c r="J21" i="30"/>
  <c r="K21" i="30"/>
  <c r="L21" i="30"/>
  <c r="D22" i="30"/>
  <c r="E22" i="30"/>
  <c r="F22" i="30"/>
  <c r="G22" i="30"/>
  <c r="H22" i="30"/>
  <c r="I22" i="30"/>
  <c r="J22" i="30"/>
  <c r="K22" i="30"/>
  <c r="L22" i="30"/>
  <c r="D23" i="30"/>
  <c r="E23" i="30"/>
  <c r="F23" i="30"/>
  <c r="G23" i="30"/>
  <c r="H23" i="30"/>
  <c r="I23" i="30"/>
  <c r="J23" i="30"/>
  <c r="K23" i="30"/>
  <c r="L23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10" i="30"/>
  <c r="L6" i="30"/>
  <c r="K6" i="30"/>
  <c r="J6" i="30"/>
  <c r="I6" i="30"/>
  <c r="H6" i="30"/>
  <c r="G6" i="30"/>
  <c r="F6" i="30"/>
  <c r="E6" i="30"/>
  <c r="D6" i="30"/>
  <c r="C6" i="30"/>
  <c r="G15" i="28"/>
  <c r="H27" i="17" s="1"/>
  <c r="I35" i="17"/>
  <c r="T110" i="24"/>
  <c r="T109" i="24"/>
  <c r="T108" i="24"/>
  <c r="T107" i="24"/>
  <c r="T106" i="24"/>
  <c r="T105" i="24"/>
  <c r="T104" i="24"/>
  <c r="T103" i="24"/>
  <c r="T102" i="24"/>
  <c r="T101" i="24"/>
  <c r="T100" i="24"/>
  <c r="T99" i="24"/>
  <c r="T98" i="24"/>
  <c r="T97" i="24"/>
  <c r="T96" i="24"/>
  <c r="T95" i="24"/>
  <c r="T94" i="24"/>
  <c r="T93" i="24"/>
  <c r="T92" i="24"/>
  <c r="T91" i="24"/>
  <c r="T90" i="24"/>
  <c r="T89" i="24"/>
  <c r="T88" i="24"/>
  <c r="T87" i="24"/>
  <c r="T86" i="24"/>
  <c r="T85" i="24"/>
  <c r="T84" i="24"/>
  <c r="T83" i="24"/>
  <c r="T82" i="24"/>
  <c r="T81" i="24"/>
  <c r="T80" i="24"/>
  <c r="T79" i="24"/>
  <c r="T78" i="24"/>
  <c r="T77" i="24"/>
  <c r="T76" i="24"/>
  <c r="T75" i="24"/>
  <c r="T74" i="24"/>
  <c r="T73" i="24"/>
  <c r="T72" i="24"/>
  <c r="T71" i="24"/>
  <c r="T70" i="24"/>
  <c r="T69" i="24"/>
  <c r="T68" i="24"/>
  <c r="T67" i="24"/>
  <c r="T66" i="24"/>
  <c r="T65" i="24"/>
  <c r="T64" i="24"/>
  <c r="T63" i="24"/>
  <c r="T62" i="24"/>
  <c r="T61" i="24"/>
  <c r="T60" i="24"/>
  <c r="T59" i="24"/>
  <c r="T58" i="24"/>
  <c r="T57" i="24"/>
  <c r="T56" i="24"/>
  <c r="T55" i="24"/>
  <c r="T54" i="24"/>
  <c r="T53" i="24"/>
  <c r="T52" i="24"/>
  <c r="T51" i="24"/>
  <c r="T50" i="24"/>
  <c r="T49" i="24"/>
  <c r="T48" i="24"/>
  <c r="T47" i="24"/>
  <c r="T46" i="24"/>
  <c r="T45" i="24"/>
  <c r="T44" i="24"/>
  <c r="T43" i="24"/>
  <c r="T42" i="24"/>
  <c r="T41" i="24"/>
  <c r="T40" i="24"/>
  <c r="T39" i="24"/>
  <c r="T38" i="24"/>
  <c r="T37" i="24"/>
  <c r="T36" i="24"/>
  <c r="T35" i="24"/>
  <c r="T34" i="24"/>
  <c r="T33" i="24"/>
  <c r="T32" i="24"/>
  <c r="T31" i="24"/>
  <c r="T30" i="24"/>
  <c r="T29" i="24"/>
  <c r="T28" i="24"/>
  <c r="T27" i="24"/>
  <c r="T26" i="24"/>
  <c r="T25" i="24"/>
  <c r="T24" i="24"/>
  <c r="T23" i="24"/>
  <c r="T22" i="24"/>
  <c r="T21" i="24"/>
  <c r="T20" i="24"/>
  <c r="T19" i="24"/>
  <c r="T18" i="24"/>
  <c r="T17" i="24"/>
  <c r="T16" i="24"/>
  <c r="T15" i="24"/>
  <c r="T14" i="24"/>
  <c r="T13" i="24"/>
  <c r="T12" i="24"/>
  <c r="T11" i="24"/>
  <c r="T10" i="24"/>
  <c r="T9" i="24"/>
  <c r="T8" i="24"/>
  <c r="T7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K17" i="20"/>
  <c r="J12" i="17" s="1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7" i="24"/>
  <c r="E103" i="7" l="1"/>
  <c r="L103" i="7"/>
  <c r="H103" i="7"/>
  <c r="D103" i="7"/>
  <c r="I103" i="7"/>
  <c r="C103" i="7"/>
  <c r="K103" i="7"/>
  <c r="G103" i="7"/>
  <c r="J103" i="7"/>
  <c r="F103" i="7"/>
  <c r="H35" i="32"/>
  <c r="G35" i="32"/>
  <c r="G37" i="32" s="1"/>
  <c r="I35" i="32"/>
  <c r="I37" i="32" s="1"/>
  <c r="E35" i="32"/>
  <c r="E37" i="32" s="1"/>
  <c r="F35" i="32"/>
  <c r="D17" i="15"/>
  <c r="D16" i="15"/>
  <c r="D13" i="15"/>
  <c r="D12" i="15"/>
  <c r="L24" i="15"/>
  <c r="H113" i="24"/>
  <c r="L113" i="24"/>
  <c r="T113" i="24"/>
  <c r="C36" i="17"/>
  <c r="D35" i="17" s="1"/>
  <c r="D19" i="15"/>
  <c r="D15" i="15"/>
  <c r="D11" i="15"/>
  <c r="D18" i="15"/>
  <c r="D14" i="15"/>
  <c r="G19" i="32"/>
  <c r="G21" i="32" s="1"/>
  <c r="F19" i="32"/>
  <c r="H37" i="32"/>
  <c r="F13" i="32"/>
  <c r="E19" i="32"/>
  <c r="H19" i="32"/>
  <c r="F37" i="32"/>
  <c r="I19" i="32"/>
  <c r="I13" i="32"/>
  <c r="H13" i="32"/>
  <c r="E13" i="32"/>
  <c r="E21" i="32" s="1"/>
  <c r="C40" i="30"/>
  <c r="C34" i="30" s="1"/>
  <c r="I40" i="30"/>
  <c r="I34" i="30" s="1"/>
  <c r="E40" i="30"/>
  <c r="E34" i="30" s="1"/>
  <c r="L40" i="30"/>
  <c r="H40" i="30"/>
  <c r="H34" i="30" s="1"/>
  <c r="D40" i="30"/>
  <c r="D34" i="30" s="1"/>
  <c r="K40" i="30"/>
  <c r="K34" i="30" s="1"/>
  <c r="G40" i="30"/>
  <c r="G34" i="30" s="1"/>
  <c r="J40" i="30"/>
  <c r="J34" i="30" s="1"/>
  <c r="F40" i="30"/>
  <c r="F34" i="30" s="1"/>
  <c r="L34" i="30"/>
  <c r="H21" i="32" l="1"/>
  <c r="F21" i="32"/>
  <c r="G48" i="32" s="1"/>
  <c r="G54" i="32" s="1"/>
  <c r="I21" i="32"/>
  <c r="K17" i="17"/>
  <c r="D34" i="17"/>
  <c r="D36" i="17" s="1"/>
  <c r="E39" i="32"/>
  <c r="G39" i="32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" i="20"/>
  <c r="J19" i="17"/>
  <c r="J20" i="17"/>
  <c r="I13" i="17"/>
  <c r="I14" i="17"/>
  <c r="I15" i="17"/>
  <c r="I16" i="17"/>
  <c r="I12" i="17"/>
  <c r="H13" i="17"/>
  <c r="K13" i="17" s="1"/>
  <c r="H14" i="17"/>
  <c r="K14" i="17" s="1"/>
  <c r="H15" i="17"/>
  <c r="K15" i="17" s="1"/>
  <c r="H16" i="17"/>
  <c r="K16" i="17" s="1"/>
  <c r="H12" i="17"/>
  <c r="K12" i="17" s="1"/>
  <c r="I19" i="17" l="1"/>
  <c r="I20" i="17"/>
  <c r="E34" i="17" s="1"/>
  <c r="E35" i="17" s="1"/>
  <c r="E36" i="17" s="1"/>
  <c r="K20" i="17"/>
  <c r="I33" i="17" s="1"/>
  <c r="F48" i="32"/>
  <c r="F39" i="32"/>
  <c r="I39" i="32"/>
  <c r="I48" i="32"/>
  <c r="I54" i="32" s="1"/>
  <c r="H39" i="32"/>
  <c r="H48" i="32"/>
  <c r="H54" i="32" s="1"/>
  <c r="K19" i="17"/>
  <c r="H19" i="17"/>
  <c r="H20" i="17"/>
  <c r="I34" i="17" s="1"/>
  <c r="I36" i="17" l="1"/>
  <c r="H26" i="17" s="1"/>
  <c r="H28" i="17" s="1"/>
  <c r="I41" i="17" s="1"/>
  <c r="F54" i="32"/>
  <c r="G8" i="15"/>
  <c r="G11" i="15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H10" i="15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C10" i="15"/>
  <c r="B8" i="15"/>
  <c r="C11" i="15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B11" i="15"/>
  <c r="B12" i="15" s="1"/>
  <c r="B13" i="15" s="1"/>
  <c r="B14" i="15" s="1"/>
  <c r="B15" i="15" s="1"/>
  <c r="B16" i="15" s="1"/>
  <c r="B17" i="15" s="1"/>
  <c r="B18" i="15" s="1"/>
  <c r="B19" i="15" s="1"/>
  <c r="B20" i="15" s="1"/>
  <c r="D40" i="7"/>
  <c r="D45" i="7" s="1"/>
  <c r="E40" i="7"/>
  <c r="E45" i="7" s="1"/>
  <c r="E13" i="12" s="1"/>
  <c r="F40" i="7"/>
  <c r="F45" i="7" s="1"/>
  <c r="G40" i="7"/>
  <c r="G45" i="7" s="1"/>
  <c r="H40" i="7"/>
  <c r="I40" i="7"/>
  <c r="I45" i="7" s="1"/>
  <c r="J40" i="7"/>
  <c r="J45" i="7" s="1"/>
  <c r="K40" i="7"/>
  <c r="K45" i="7" s="1"/>
  <c r="L40" i="7"/>
  <c r="M40" i="7" s="1"/>
  <c r="C40" i="7"/>
  <c r="C45" i="7" s="1"/>
  <c r="D13" i="12" s="1"/>
  <c r="B5" i="12"/>
  <c r="L6" i="12"/>
  <c r="K6" i="12"/>
  <c r="J6" i="12"/>
  <c r="I6" i="12"/>
  <c r="H6" i="12"/>
  <c r="G6" i="12"/>
  <c r="F6" i="12"/>
  <c r="E6" i="12"/>
  <c r="D6" i="12"/>
  <c r="C6" i="12"/>
  <c r="C81" i="7"/>
  <c r="D81" i="7"/>
  <c r="E81" i="7"/>
  <c r="F81" i="7"/>
  <c r="G81" i="7"/>
  <c r="H81" i="7"/>
  <c r="I81" i="7"/>
  <c r="J81" i="7"/>
  <c r="K81" i="7"/>
  <c r="L81" i="7"/>
  <c r="C82" i="7"/>
  <c r="D82" i="7"/>
  <c r="E82" i="7"/>
  <c r="F82" i="7"/>
  <c r="G82" i="7"/>
  <c r="H82" i="7"/>
  <c r="I82" i="7"/>
  <c r="J82" i="7"/>
  <c r="K82" i="7"/>
  <c r="L82" i="7"/>
  <c r="C83" i="7"/>
  <c r="D83" i="7"/>
  <c r="E83" i="7"/>
  <c r="F83" i="7"/>
  <c r="G83" i="7"/>
  <c r="H83" i="7"/>
  <c r="I83" i="7"/>
  <c r="J83" i="7"/>
  <c r="K83" i="7"/>
  <c r="L83" i="7"/>
  <c r="D80" i="7"/>
  <c r="E80" i="7"/>
  <c r="F80" i="7"/>
  <c r="G80" i="7"/>
  <c r="H80" i="7"/>
  <c r="I80" i="7"/>
  <c r="J80" i="7"/>
  <c r="K80" i="7"/>
  <c r="L80" i="7"/>
  <c r="C80" i="7"/>
  <c r="D7" i="7"/>
  <c r="E7" i="7"/>
  <c r="F7" i="7"/>
  <c r="G7" i="7"/>
  <c r="H7" i="7"/>
  <c r="I7" i="7"/>
  <c r="J7" i="7"/>
  <c r="K7" i="7"/>
  <c r="L7" i="7"/>
  <c r="C7" i="7"/>
  <c r="D76" i="7"/>
  <c r="E76" i="7"/>
  <c r="F76" i="7"/>
  <c r="G76" i="7"/>
  <c r="H76" i="7"/>
  <c r="I76" i="7"/>
  <c r="J76" i="7"/>
  <c r="K76" i="7"/>
  <c r="L76" i="7"/>
  <c r="C76" i="7"/>
  <c r="D75" i="7"/>
  <c r="E75" i="7"/>
  <c r="F75" i="7"/>
  <c r="G75" i="7"/>
  <c r="H75" i="7"/>
  <c r="I75" i="7"/>
  <c r="J75" i="7"/>
  <c r="K75" i="7"/>
  <c r="L75" i="7"/>
  <c r="C75" i="7"/>
  <c r="D74" i="7"/>
  <c r="E74" i="7"/>
  <c r="F74" i="7"/>
  <c r="G74" i="7"/>
  <c r="H74" i="7"/>
  <c r="I74" i="7"/>
  <c r="J74" i="7"/>
  <c r="K74" i="7"/>
  <c r="L74" i="7"/>
  <c r="C74" i="7"/>
  <c r="L67" i="7"/>
  <c r="K67" i="7"/>
  <c r="J67" i="7"/>
  <c r="I67" i="7"/>
  <c r="H67" i="7"/>
  <c r="G67" i="7"/>
  <c r="F67" i="7"/>
  <c r="E67" i="7"/>
  <c r="D67" i="7"/>
  <c r="C67" i="7"/>
  <c r="L66" i="7"/>
  <c r="K66" i="7"/>
  <c r="J66" i="7"/>
  <c r="I66" i="7"/>
  <c r="H66" i="7"/>
  <c r="G66" i="7"/>
  <c r="F66" i="7"/>
  <c r="E66" i="7"/>
  <c r="D66" i="7"/>
  <c r="C66" i="7"/>
  <c r="L65" i="7"/>
  <c r="L62" i="7" s="1"/>
  <c r="K65" i="7"/>
  <c r="J65" i="7"/>
  <c r="I65" i="7"/>
  <c r="H65" i="7"/>
  <c r="H62" i="7" s="1"/>
  <c r="G65" i="7"/>
  <c r="F65" i="7"/>
  <c r="E65" i="7"/>
  <c r="D65" i="7"/>
  <c r="D62" i="7" s="1"/>
  <c r="C65" i="7"/>
  <c r="L61" i="7"/>
  <c r="K61" i="7"/>
  <c r="J61" i="7"/>
  <c r="I61" i="7"/>
  <c r="H61" i="7"/>
  <c r="G61" i="7"/>
  <c r="F61" i="7"/>
  <c r="E61" i="7"/>
  <c r="D61" i="7"/>
  <c r="C61" i="7"/>
  <c r="L60" i="7"/>
  <c r="L63" i="7" s="1"/>
  <c r="K60" i="7"/>
  <c r="J60" i="7"/>
  <c r="I60" i="7"/>
  <c r="H60" i="7"/>
  <c r="H63" i="7" s="1"/>
  <c r="G60" i="7"/>
  <c r="F60" i="7"/>
  <c r="E60" i="7"/>
  <c r="D60" i="7"/>
  <c r="D63" i="7" s="1"/>
  <c r="C60" i="7"/>
  <c r="L59" i="7"/>
  <c r="K59" i="7"/>
  <c r="J59" i="7"/>
  <c r="I59" i="7"/>
  <c r="H59" i="7"/>
  <c r="G59" i="7"/>
  <c r="F59" i="7"/>
  <c r="E59" i="7"/>
  <c r="D59" i="7"/>
  <c r="C59" i="7"/>
  <c r="L57" i="7"/>
  <c r="K57" i="7"/>
  <c r="J57" i="7"/>
  <c r="I57" i="7"/>
  <c r="H57" i="7"/>
  <c r="G57" i="7"/>
  <c r="F57" i="7"/>
  <c r="E57" i="7"/>
  <c r="D57" i="7"/>
  <c r="C57" i="7"/>
  <c r="L56" i="7"/>
  <c r="K56" i="7"/>
  <c r="J56" i="7"/>
  <c r="I56" i="7"/>
  <c r="H56" i="7"/>
  <c r="G56" i="7"/>
  <c r="F56" i="7"/>
  <c r="E56" i="7"/>
  <c r="D56" i="7"/>
  <c r="C56" i="7"/>
  <c r="L55" i="7"/>
  <c r="K55" i="7"/>
  <c r="J55" i="7"/>
  <c r="I55" i="7"/>
  <c r="H55" i="7"/>
  <c r="G55" i="7"/>
  <c r="F55" i="7"/>
  <c r="E55" i="7"/>
  <c r="D55" i="7"/>
  <c r="C55" i="7"/>
  <c r="L54" i="7"/>
  <c r="K54" i="7"/>
  <c r="J54" i="7"/>
  <c r="I54" i="7"/>
  <c r="H54" i="7"/>
  <c r="G54" i="7"/>
  <c r="F54" i="7"/>
  <c r="E54" i="7"/>
  <c r="D54" i="7"/>
  <c r="C54" i="7"/>
  <c r="D53" i="7"/>
  <c r="E53" i="7"/>
  <c r="F53" i="7"/>
  <c r="G53" i="7"/>
  <c r="H53" i="7"/>
  <c r="I53" i="7"/>
  <c r="J53" i="7"/>
  <c r="K53" i="7"/>
  <c r="L53" i="7"/>
  <c r="C53" i="7"/>
  <c r="H45" i="7"/>
  <c r="M45" i="7"/>
  <c r="B21" i="15" l="1"/>
  <c r="B22" i="15" s="1"/>
  <c r="B23" i="15" s="1"/>
  <c r="B24" i="15" s="1"/>
  <c r="D20" i="15"/>
  <c r="C85" i="7"/>
  <c r="C89" i="7" s="1"/>
  <c r="J85" i="7"/>
  <c r="J89" i="7" s="1"/>
  <c r="F85" i="7"/>
  <c r="F89" i="7" s="1"/>
  <c r="G85" i="7"/>
  <c r="G89" i="7" s="1"/>
  <c r="I85" i="7"/>
  <c r="I89" i="7" s="1"/>
  <c r="E85" i="7"/>
  <c r="E89" i="7" s="1"/>
  <c r="K85" i="7"/>
  <c r="K89" i="7" s="1"/>
  <c r="L85" i="7"/>
  <c r="L89" i="7" s="1"/>
  <c r="H85" i="7"/>
  <c r="H89" i="7" s="1"/>
  <c r="D85" i="7"/>
  <c r="D89" i="7" s="1"/>
  <c r="L113" i="7"/>
  <c r="H113" i="7"/>
  <c r="D113" i="7"/>
  <c r="I13" i="12"/>
  <c r="F13" i="12"/>
  <c r="C113" i="7"/>
  <c r="I113" i="7"/>
  <c r="E113" i="7"/>
  <c r="J13" i="12"/>
  <c r="K13" i="12"/>
  <c r="E13" i="15"/>
  <c r="E12" i="15"/>
  <c r="E18" i="15"/>
  <c r="E14" i="15"/>
  <c r="H13" i="12"/>
  <c r="G13" i="12"/>
  <c r="K113" i="7"/>
  <c r="J113" i="7"/>
  <c r="F113" i="7"/>
  <c r="G113" i="7"/>
  <c r="F62" i="7"/>
  <c r="F63" i="7" s="1"/>
  <c r="C68" i="7"/>
  <c r="G68" i="7"/>
  <c r="K68" i="7"/>
  <c r="E68" i="7"/>
  <c r="I68" i="7"/>
  <c r="F68" i="7"/>
  <c r="J68" i="7"/>
  <c r="J62" i="7"/>
  <c r="J63" i="7" s="1"/>
  <c r="L68" i="7"/>
  <c r="L70" i="7" s="1"/>
  <c r="L72" i="7" s="1"/>
  <c r="H68" i="7"/>
  <c r="H70" i="7" s="1"/>
  <c r="H72" i="7" s="1"/>
  <c r="D68" i="7"/>
  <c r="D70" i="7" s="1"/>
  <c r="D72" i="7" s="1"/>
  <c r="G62" i="7"/>
  <c r="G63" i="7" s="1"/>
  <c r="K62" i="7"/>
  <c r="K63" i="7" s="1"/>
  <c r="E62" i="7"/>
  <c r="E63" i="7" s="1"/>
  <c r="I62" i="7"/>
  <c r="I63" i="7" s="1"/>
  <c r="C62" i="7"/>
  <c r="C63" i="7" s="1"/>
  <c r="L45" i="7"/>
  <c r="L13" i="12" s="1"/>
  <c r="M34" i="7"/>
  <c r="D34" i="7"/>
  <c r="E34" i="7"/>
  <c r="F34" i="7"/>
  <c r="G34" i="7"/>
  <c r="H34" i="7"/>
  <c r="I34" i="7"/>
  <c r="J34" i="7"/>
  <c r="K34" i="7"/>
  <c r="L34" i="7"/>
  <c r="C34" i="7"/>
  <c r="M28" i="7"/>
  <c r="D28" i="7"/>
  <c r="E28" i="7"/>
  <c r="F28" i="7"/>
  <c r="G28" i="7"/>
  <c r="H28" i="7"/>
  <c r="I28" i="7"/>
  <c r="J28" i="7"/>
  <c r="K28" i="7"/>
  <c r="L28" i="7"/>
  <c r="C28" i="7"/>
  <c r="M25" i="7"/>
  <c r="D25" i="7"/>
  <c r="E25" i="7"/>
  <c r="F25" i="7"/>
  <c r="G25" i="7"/>
  <c r="H25" i="7"/>
  <c r="I25" i="7"/>
  <c r="J25" i="7"/>
  <c r="K25" i="7"/>
  <c r="L25" i="7"/>
  <c r="D26" i="17" s="1"/>
  <c r="D28" i="17" s="1"/>
  <c r="I40" i="17" s="1"/>
  <c r="I42" i="17" s="1"/>
  <c r="C24" i="34" s="1"/>
  <c r="C25" i="7"/>
  <c r="D19" i="7"/>
  <c r="E19" i="7"/>
  <c r="F19" i="7"/>
  <c r="G19" i="7"/>
  <c r="H19" i="7"/>
  <c r="I19" i="7"/>
  <c r="J19" i="7"/>
  <c r="K19" i="7"/>
  <c r="L19" i="7"/>
  <c r="M19" i="7"/>
  <c r="C19" i="7"/>
  <c r="M10" i="7"/>
  <c r="D10" i="7"/>
  <c r="E10" i="7"/>
  <c r="F10" i="7"/>
  <c r="G10" i="7"/>
  <c r="H10" i="7"/>
  <c r="I10" i="7"/>
  <c r="J10" i="7"/>
  <c r="K10" i="7"/>
  <c r="L10" i="7"/>
  <c r="C10" i="7"/>
  <c r="B6" i="7"/>
  <c r="B6" i="6"/>
  <c r="E1" i="6"/>
  <c r="C115" i="7" l="1"/>
  <c r="C117" i="7" s="1"/>
  <c r="F18" i="34"/>
  <c r="H18" i="34"/>
  <c r="C29" i="34"/>
  <c r="E18" i="34"/>
  <c r="I18" i="34"/>
  <c r="G18" i="34"/>
  <c r="K70" i="7"/>
  <c r="K72" i="7" s="1"/>
  <c r="G70" i="7"/>
  <c r="G72" i="7" s="1"/>
  <c r="H33" i="12"/>
  <c r="H39" i="12" s="1"/>
  <c r="H32" i="12"/>
  <c r="H38" i="12" s="1"/>
  <c r="J31" i="12"/>
  <c r="J37" i="12" s="1"/>
  <c r="J35" i="12"/>
  <c r="J34" i="12"/>
  <c r="F31" i="12"/>
  <c r="F37" i="12" s="1"/>
  <c r="F35" i="12"/>
  <c r="F34" i="12"/>
  <c r="D42" i="12"/>
  <c r="D43" i="12"/>
  <c r="D44" i="12"/>
  <c r="K32" i="12"/>
  <c r="K38" i="12" s="1"/>
  <c r="K33" i="12"/>
  <c r="K39" i="12" s="1"/>
  <c r="C34" i="12"/>
  <c r="C35" i="12"/>
  <c r="C31" i="12"/>
  <c r="I34" i="12"/>
  <c r="I35" i="12"/>
  <c r="I31" i="12"/>
  <c r="I37" i="12" s="1"/>
  <c r="E34" i="12"/>
  <c r="E35" i="12"/>
  <c r="E31" i="12"/>
  <c r="E37" i="12" s="1"/>
  <c r="I115" i="7"/>
  <c r="I117" i="7" s="1"/>
  <c r="I42" i="12"/>
  <c r="I44" i="12"/>
  <c r="F32" i="12"/>
  <c r="F38" i="12" s="1"/>
  <c r="F33" i="12"/>
  <c r="F39" i="12" s="1"/>
  <c r="D31" i="12"/>
  <c r="D37" i="12" s="1"/>
  <c r="D35" i="12"/>
  <c r="D34" i="12"/>
  <c r="L115" i="7"/>
  <c r="L117" i="7" s="1"/>
  <c r="L42" i="12"/>
  <c r="L43" i="12"/>
  <c r="L44" i="12"/>
  <c r="C42" i="12"/>
  <c r="C44" i="12"/>
  <c r="G44" i="12"/>
  <c r="G42" i="12"/>
  <c r="L33" i="12"/>
  <c r="L39" i="12" s="1"/>
  <c r="L32" i="12"/>
  <c r="L38" i="12" s="1"/>
  <c r="D33" i="12"/>
  <c r="D39" i="12" s="1"/>
  <c r="D32" i="12"/>
  <c r="D38" i="12" s="1"/>
  <c r="J44" i="12"/>
  <c r="J42" i="12"/>
  <c r="E42" i="12"/>
  <c r="E44" i="12"/>
  <c r="G32" i="12"/>
  <c r="G38" i="12" s="1"/>
  <c r="G33" i="12"/>
  <c r="G39" i="12" s="1"/>
  <c r="H115" i="7"/>
  <c r="H117" i="7" s="1"/>
  <c r="H42" i="12"/>
  <c r="H44" i="12"/>
  <c r="H43" i="12"/>
  <c r="O13" i="12"/>
  <c r="J33" i="12"/>
  <c r="J39" i="12" s="1"/>
  <c r="J32" i="12"/>
  <c r="J38" i="12" s="1"/>
  <c r="L31" i="12"/>
  <c r="L37" i="12" s="1"/>
  <c r="L35" i="12"/>
  <c r="L34" i="12"/>
  <c r="H34" i="12"/>
  <c r="H31" i="12"/>
  <c r="H37" i="12" s="1"/>
  <c r="H35" i="12"/>
  <c r="C33" i="12"/>
  <c r="C32" i="12"/>
  <c r="I32" i="12"/>
  <c r="I38" i="12" s="1"/>
  <c r="I33" i="12"/>
  <c r="I39" i="12" s="1"/>
  <c r="E32" i="12"/>
  <c r="E38" i="12" s="1"/>
  <c r="E33" i="12"/>
  <c r="E39" i="12" s="1"/>
  <c r="K34" i="12"/>
  <c r="K31" i="12"/>
  <c r="K37" i="12" s="1"/>
  <c r="K35" i="12"/>
  <c r="G34" i="12"/>
  <c r="G31" i="12"/>
  <c r="G37" i="12" s="1"/>
  <c r="G35" i="12"/>
  <c r="F44" i="12"/>
  <c r="F42" i="12"/>
  <c r="K44" i="12"/>
  <c r="K42" i="12"/>
  <c r="D22" i="15"/>
  <c r="D24" i="15"/>
  <c r="E16" i="15"/>
  <c r="E17" i="15"/>
  <c r="E11" i="15"/>
  <c r="E20" i="15"/>
  <c r="D21" i="15"/>
  <c r="E15" i="15"/>
  <c r="D23" i="15"/>
  <c r="E23" i="15" s="1"/>
  <c r="E19" i="15"/>
  <c r="N13" i="12"/>
  <c r="F115" i="7"/>
  <c r="F117" i="7" s="1"/>
  <c r="G115" i="7"/>
  <c r="G117" i="7" s="1"/>
  <c r="D115" i="7"/>
  <c r="D117" i="7" s="1"/>
  <c r="E115" i="7"/>
  <c r="E117" i="7" s="1"/>
  <c r="K115" i="7"/>
  <c r="K117" i="7" s="1"/>
  <c r="E70" i="7"/>
  <c r="E72" i="7" s="1"/>
  <c r="J115" i="7"/>
  <c r="J117" i="7" s="1"/>
  <c r="D11" i="7"/>
  <c r="D8" i="12" s="1"/>
  <c r="C70" i="7"/>
  <c r="C72" i="7" s="1"/>
  <c r="F70" i="7"/>
  <c r="F72" i="7" s="1"/>
  <c r="I70" i="7"/>
  <c r="I72" i="7" s="1"/>
  <c r="F14" i="7"/>
  <c r="J70" i="7"/>
  <c r="J72" i="7" s="1"/>
  <c r="I14" i="7"/>
  <c r="E14" i="7"/>
  <c r="L11" i="7"/>
  <c r="L8" i="12" s="1"/>
  <c r="J11" i="7"/>
  <c r="J8" i="12" s="1"/>
  <c r="G11" i="7"/>
  <c r="G8" i="12" s="1"/>
  <c r="M16" i="7"/>
  <c r="M17" i="7" s="1"/>
  <c r="K14" i="7"/>
  <c r="G14" i="7"/>
  <c r="I11" i="7"/>
  <c r="I8" i="12" s="1"/>
  <c r="E11" i="7"/>
  <c r="E8" i="12" s="1"/>
  <c r="M20" i="7"/>
  <c r="H11" i="7"/>
  <c r="H8" i="12" s="1"/>
  <c r="L14" i="7"/>
  <c r="H14" i="7"/>
  <c r="D14" i="7"/>
  <c r="I20" i="7"/>
  <c r="I21" i="12" s="1"/>
  <c r="E20" i="7"/>
  <c r="E21" i="12" s="1"/>
  <c r="M29" i="7"/>
  <c r="C20" i="7"/>
  <c r="C21" i="12" s="1"/>
  <c r="J20" i="7"/>
  <c r="J21" i="12" s="1"/>
  <c r="F20" i="7"/>
  <c r="F21" i="12" s="1"/>
  <c r="C26" i="7"/>
  <c r="I26" i="7"/>
  <c r="E26" i="7"/>
  <c r="L29" i="7"/>
  <c r="L22" i="12" s="1"/>
  <c r="H29" i="7"/>
  <c r="H22" i="12" s="1"/>
  <c r="D29" i="7"/>
  <c r="D22" i="12" s="1"/>
  <c r="C14" i="7"/>
  <c r="L26" i="7"/>
  <c r="H26" i="7"/>
  <c r="D26" i="7"/>
  <c r="K29" i="7"/>
  <c r="K22" i="12" s="1"/>
  <c r="G29" i="7"/>
  <c r="G22" i="12" s="1"/>
  <c r="L16" i="7"/>
  <c r="L22" i="7" s="1"/>
  <c r="H16" i="7"/>
  <c r="H22" i="7" s="1"/>
  <c r="D16" i="7"/>
  <c r="D22" i="7" s="1"/>
  <c r="L20" i="7"/>
  <c r="L21" i="12" s="1"/>
  <c r="H20" i="7"/>
  <c r="H21" i="12" s="1"/>
  <c r="D20" i="7"/>
  <c r="D21" i="12" s="1"/>
  <c r="K26" i="7"/>
  <c r="G26" i="7"/>
  <c r="M26" i="7"/>
  <c r="J29" i="7"/>
  <c r="J22" i="12" s="1"/>
  <c r="F29" i="7"/>
  <c r="F22" i="12" s="1"/>
  <c r="G16" i="7"/>
  <c r="G22" i="7" s="1"/>
  <c r="C16" i="7"/>
  <c r="C22" i="7" s="1"/>
  <c r="K20" i="7"/>
  <c r="K21" i="12" s="1"/>
  <c r="G20" i="7"/>
  <c r="G21" i="12" s="1"/>
  <c r="J26" i="7"/>
  <c r="F26" i="7"/>
  <c r="C29" i="7"/>
  <c r="C22" i="12" s="1"/>
  <c r="I29" i="7"/>
  <c r="I22" i="12" s="1"/>
  <c r="E29" i="7"/>
  <c r="E22" i="12" s="1"/>
  <c r="M14" i="7"/>
  <c r="J16" i="7"/>
  <c r="J22" i="7" s="1"/>
  <c r="F16" i="7"/>
  <c r="J14" i="7"/>
  <c r="I16" i="7"/>
  <c r="I17" i="7" s="1"/>
  <c r="I15" i="12" s="1"/>
  <c r="E16" i="7"/>
  <c r="E17" i="7" s="1"/>
  <c r="E15" i="12" s="1"/>
  <c r="F11" i="7"/>
  <c r="F8" i="12" s="1"/>
  <c r="K11" i="7"/>
  <c r="K8" i="12" s="1"/>
  <c r="M11" i="7"/>
  <c r="K16" i="7"/>
  <c r="K22" i="7" s="1"/>
  <c r="C43" i="12" l="1"/>
  <c r="K43" i="12"/>
  <c r="J43" i="12"/>
  <c r="H40" i="12"/>
  <c r="I43" i="12"/>
  <c r="G43" i="12"/>
  <c r="I40" i="12"/>
  <c r="G23" i="7"/>
  <c r="G16" i="12" s="1"/>
  <c r="G23" i="12" s="1"/>
  <c r="G25" i="12"/>
  <c r="G17" i="12"/>
  <c r="G29" i="12"/>
  <c r="D31" i="7"/>
  <c r="D29" i="12"/>
  <c r="D25" i="12"/>
  <c r="D17" i="12"/>
  <c r="D9" i="12"/>
  <c r="D10" i="12"/>
  <c r="N35" i="12"/>
  <c r="O35" i="12"/>
  <c r="K23" i="7"/>
  <c r="K16" i="12" s="1"/>
  <c r="K23" i="12" s="1"/>
  <c r="H40" i="32"/>
  <c r="K29" i="12"/>
  <c r="K25" i="12"/>
  <c r="K9" i="12"/>
  <c r="K10" i="12"/>
  <c r="K17" i="12"/>
  <c r="N22" i="12"/>
  <c r="O22" i="12"/>
  <c r="H31" i="7"/>
  <c r="H32" i="7" s="1"/>
  <c r="H18" i="12" s="1"/>
  <c r="E40" i="32"/>
  <c r="H29" i="12"/>
  <c r="H25" i="12"/>
  <c r="H17" i="12"/>
  <c r="H9" i="12"/>
  <c r="H10" i="12"/>
  <c r="N21" i="12"/>
  <c r="O21" i="12"/>
  <c r="N8" i="12"/>
  <c r="O8" i="12"/>
  <c r="K40" i="12"/>
  <c r="E43" i="12"/>
  <c r="O44" i="12"/>
  <c r="N44" i="12"/>
  <c r="E40" i="12"/>
  <c r="O34" i="12"/>
  <c r="N34" i="12"/>
  <c r="F40" i="12"/>
  <c r="C38" i="12"/>
  <c r="O32" i="12"/>
  <c r="N32" i="12"/>
  <c r="C37" i="12"/>
  <c r="O31" i="12"/>
  <c r="N31" i="12"/>
  <c r="N33" i="12"/>
  <c r="O33" i="12"/>
  <c r="C39" i="12"/>
  <c r="J40" i="12"/>
  <c r="J23" i="7"/>
  <c r="J16" i="12" s="1"/>
  <c r="J23" i="12" s="1"/>
  <c r="G40" i="32"/>
  <c r="J29" i="12"/>
  <c r="J25" i="12"/>
  <c r="J17" i="12"/>
  <c r="C23" i="7"/>
  <c r="C16" i="12" s="1"/>
  <c r="C25" i="12"/>
  <c r="C29" i="12"/>
  <c r="C17" i="12"/>
  <c r="L23" i="7"/>
  <c r="L16" i="12" s="1"/>
  <c r="L23" i="12" s="1"/>
  <c r="I40" i="32"/>
  <c r="D12" i="34" s="1"/>
  <c r="L29" i="12"/>
  <c r="L25" i="12"/>
  <c r="L17" i="12"/>
  <c r="L9" i="12"/>
  <c r="L10" i="12"/>
  <c r="F43" i="12"/>
  <c r="G40" i="12"/>
  <c r="L40" i="12"/>
  <c r="N42" i="12"/>
  <c r="O42" i="12"/>
  <c r="D40" i="12"/>
  <c r="E21" i="15"/>
  <c r="E24" i="15"/>
  <c r="E22" i="15"/>
  <c r="G31" i="7"/>
  <c r="G37" i="7" s="1"/>
  <c r="L31" i="7"/>
  <c r="I22" i="7"/>
  <c r="J10" i="12" s="1"/>
  <c r="H23" i="7"/>
  <c r="H16" i="12" s="1"/>
  <c r="H23" i="12" s="1"/>
  <c r="M22" i="7"/>
  <c r="M31" i="7" s="1"/>
  <c r="L17" i="7"/>
  <c r="L15" i="12" s="1"/>
  <c r="C31" i="7"/>
  <c r="C32" i="7" s="1"/>
  <c r="C18" i="12" s="1"/>
  <c r="C17" i="7"/>
  <c r="C15" i="12" s="1"/>
  <c r="G17" i="7"/>
  <c r="G15" i="12" s="1"/>
  <c r="J17" i="7"/>
  <c r="J15" i="12" s="1"/>
  <c r="H17" i="7"/>
  <c r="H15" i="12" s="1"/>
  <c r="K17" i="7"/>
  <c r="K15" i="12" s="1"/>
  <c r="K31" i="7"/>
  <c r="E22" i="7"/>
  <c r="D23" i="7"/>
  <c r="D16" i="12" s="1"/>
  <c r="D23" i="12" s="1"/>
  <c r="D17" i="7"/>
  <c r="D15" i="12" s="1"/>
  <c r="F22" i="7"/>
  <c r="G9" i="12" s="1"/>
  <c r="F17" i="7"/>
  <c r="F15" i="12" s="1"/>
  <c r="J31" i="7"/>
  <c r="D37" i="7"/>
  <c r="D32" i="7"/>
  <c r="D18" i="12" s="1"/>
  <c r="D35" i="7"/>
  <c r="H37" i="7"/>
  <c r="G35" i="7" l="1"/>
  <c r="E12" i="34"/>
  <c r="D14" i="34"/>
  <c r="I23" i="7"/>
  <c r="I16" i="12" s="1"/>
  <c r="I23" i="12" s="1"/>
  <c r="I10" i="15" a="1"/>
  <c r="I10" i="15" s="1"/>
  <c r="H35" i="7"/>
  <c r="N43" i="12"/>
  <c r="O43" i="12"/>
  <c r="G27" i="12"/>
  <c r="I50" i="32"/>
  <c r="I52" i="32" s="1"/>
  <c r="I56" i="32" s="1"/>
  <c r="I64" i="32" s="1"/>
  <c r="I42" i="32"/>
  <c r="I65" i="32" s="1"/>
  <c r="O37" i="12"/>
  <c r="N37" i="12"/>
  <c r="C40" i="12"/>
  <c r="J35" i="7"/>
  <c r="E50" i="32"/>
  <c r="E52" i="32" s="1"/>
  <c r="E42" i="32"/>
  <c r="L37" i="7"/>
  <c r="L38" i="7" s="1"/>
  <c r="L19" i="12" s="1"/>
  <c r="L11" i="12"/>
  <c r="C23" i="12"/>
  <c r="H11" i="12"/>
  <c r="H50" i="32"/>
  <c r="H52" i="32" s="1"/>
  <c r="H56" i="32" s="1"/>
  <c r="H64" i="32" s="1"/>
  <c r="H42" i="32"/>
  <c r="H65" i="32" s="1"/>
  <c r="H27" i="12"/>
  <c r="H12" i="12"/>
  <c r="O15" i="12"/>
  <c r="N15" i="12"/>
  <c r="G50" i="32"/>
  <c r="G52" i="32" s="1"/>
  <c r="G56" i="32" s="1"/>
  <c r="G64" i="32" s="1"/>
  <c r="G42" i="32"/>
  <c r="G65" i="32" s="1"/>
  <c r="I31" i="7"/>
  <c r="I11" i="12" s="1"/>
  <c r="F40" i="32"/>
  <c r="I9" i="12"/>
  <c r="I10" i="12"/>
  <c r="I29" i="12"/>
  <c r="I25" i="12"/>
  <c r="I17" i="12"/>
  <c r="E31" i="7"/>
  <c r="E11" i="12" s="1"/>
  <c r="E9" i="12"/>
  <c r="E10" i="12"/>
  <c r="E29" i="12"/>
  <c r="E25" i="12"/>
  <c r="E17" i="12"/>
  <c r="D27" i="12"/>
  <c r="F29" i="12"/>
  <c r="F25" i="12"/>
  <c r="F9" i="12"/>
  <c r="F10" i="12"/>
  <c r="F17" i="12"/>
  <c r="K32" i="7"/>
  <c r="K18" i="12" s="1"/>
  <c r="K11" i="12"/>
  <c r="G32" i="7"/>
  <c r="G18" i="12" s="1"/>
  <c r="J9" i="12"/>
  <c r="N39" i="12"/>
  <c r="O39" i="12"/>
  <c r="N38" i="12"/>
  <c r="O38" i="12"/>
  <c r="D11" i="12"/>
  <c r="G10" i="12"/>
  <c r="L35" i="7"/>
  <c r="L32" i="7"/>
  <c r="L18" i="12" s="1"/>
  <c r="K37" i="7"/>
  <c r="K42" i="7" s="1"/>
  <c r="M23" i="7"/>
  <c r="C37" i="7"/>
  <c r="C27" i="12" s="1"/>
  <c r="C35" i="7"/>
  <c r="J32" i="7"/>
  <c r="J18" i="12" s="1"/>
  <c r="E23" i="7"/>
  <c r="E16" i="12" s="1"/>
  <c r="E23" i="12" s="1"/>
  <c r="K35" i="7"/>
  <c r="J37" i="7"/>
  <c r="F23" i="7"/>
  <c r="F16" i="12" s="1"/>
  <c r="F23" i="12" s="1"/>
  <c r="F31" i="7"/>
  <c r="G11" i="12" s="1"/>
  <c r="D42" i="7"/>
  <c r="D46" i="7" s="1"/>
  <c r="D48" i="7" s="1"/>
  <c r="D26" i="12" s="1"/>
  <c r="D38" i="7"/>
  <c r="D19" i="12" s="1"/>
  <c r="G42" i="7"/>
  <c r="G38" i="7"/>
  <c r="G19" i="12" s="1"/>
  <c r="M35" i="7"/>
  <c r="M37" i="7"/>
  <c r="M32" i="7"/>
  <c r="H42" i="7"/>
  <c r="H46" i="7" s="1"/>
  <c r="H48" i="7" s="1"/>
  <c r="H26" i="12" s="1"/>
  <c r="H38" i="7"/>
  <c r="H19" i="12" s="1"/>
  <c r="I37" i="7" l="1"/>
  <c r="E14" i="34"/>
  <c r="F12" i="34"/>
  <c r="I35" i="7"/>
  <c r="I19" i="15"/>
  <c r="I15" i="15"/>
  <c r="O10" i="12"/>
  <c r="I16" i="15"/>
  <c r="E32" i="7"/>
  <c r="E18" i="12" s="1"/>
  <c r="I11" i="15"/>
  <c r="J11" i="15" s="1"/>
  <c r="I17" i="15"/>
  <c r="O9" i="12"/>
  <c r="K38" i="7"/>
  <c r="K19" i="12" s="1"/>
  <c r="D28" i="12"/>
  <c r="I18" i="15"/>
  <c r="I12" i="15"/>
  <c r="I14" i="15"/>
  <c r="I13" i="15"/>
  <c r="O29" i="12"/>
  <c r="O17" i="12"/>
  <c r="N10" i="12"/>
  <c r="N9" i="12"/>
  <c r="I32" i="7"/>
  <c r="I18" i="12" s="1"/>
  <c r="H28" i="12"/>
  <c r="C38" i="7"/>
  <c r="C19" i="12" s="1"/>
  <c r="N17" i="12"/>
  <c r="O25" i="12"/>
  <c r="J11" i="12"/>
  <c r="H66" i="32"/>
  <c r="G66" i="32"/>
  <c r="C42" i="7"/>
  <c r="J42" i="7"/>
  <c r="J46" i="7" s="1"/>
  <c r="J48" i="7" s="1"/>
  <c r="J26" i="12" s="1"/>
  <c r="J12" i="12"/>
  <c r="J27" i="12"/>
  <c r="O23" i="12"/>
  <c r="N23" i="12"/>
  <c r="L27" i="12"/>
  <c r="L12" i="12"/>
  <c r="I12" i="12"/>
  <c r="I27" i="12"/>
  <c r="F50" i="32"/>
  <c r="F52" i="32" s="1"/>
  <c r="F56" i="32" s="1"/>
  <c r="F42" i="32"/>
  <c r="F65" i="32" s="1"/>
  <c r="I66" i="32"/>
  <c r="F11" i="12"/>
  <c r="N25" i="12"/>
  <c r="N16" i="12"/>
  <c r="N29" i="12"/>
  <c r="L42" i="7"/>
  <c r="L46" i="7" s="1"/>
  <c r="L48" i="7" s="1"/>
  <c r="L26" i="12" s="1"/>
  <c r="E37" i="7"/>
  <c r="E38" i="7" s="1"/>
  <c r="E19" i="12" s="1"/>
  <c r="E35" i="7"/>
  <c r="K27" i="12"/>
  <c r="K12" i="12"/>
  <c r="D12" i="12"/>
  <c r="O16" i="12"/>
  <c r="O40" i="12"/>
  <c r="N40" i="12"/>
  <c r="J38" i="7"/>
  <c r="J19" i="12" s="1"/>
  <c r="G46" i="7"/>
  <c r="G48" i="7" s="1"/>
  <c r="G26" i="12" s="1"/>
  <c r="G28" i="12" s="1"/>
  <c r="F35" i="7"/>
  <c r="F32" i="7"/>
  <c r="F18" i="12" s="1"/>
  <c r="F37" i="7"/>
  <c r="K46" i="7"/>
  <c r="K48" i="7" s="1"/>
  <c r="K26" i="12" s="1"/>
  <c r="M42" i="7"/>
  <c r="M38" i="7"/>
  <c r="H43" i="7"/>
  <c r="I42" i="7"/>
  <c r="I38" i="7"/>
  <c r="I19" i="12" s="1"/>
  <c r="K43" i="7" l="1"/>
  <c r="C46" i="7"/>
  <c r="C48" i="7" s="1"/>
  <c r="C26" i="12" s="1"/>
  <c r="C28" i="12" s="1"/>
  <c r="F14" i="34"/>
  <c r="G12" i="34"/>
  <c r="J16" i="15"/>
  <c r="J17" i="15"/>
  <c r="D43" i="7"/>
  <c r="I22" i="15"/>
  <c r="J18" i="15"/>
  <c r="I20" i="15"/>
  <c r="J20" i="15" s="1"/>
  <c r="O11" i="12"/>
  <c r="J19" i="15"/>
  <c r="L28" i="12"/>
  <c r="J12" i="15"/>
  <c r="I23" i="15"/>
  <c r="J14" i="15"/>
  <c r="N18" i="12"/>
  <c r="K28" i="12"/>
  <c r="J15" i="15"/>
  <c r="I24" i="15"/>
  <c r="L43" i="7"/>
  <c r="N11" i="12"/>
  <c r="I21" i="15"/>
  <c r="J21" i="15" s="1"/>
  <c r="J13" i="15"/>
  <c r="J28" i="12"/>
  <c r="F12" i="12"/>
  <c r="F27" i="12"/>
  <c r="G12" i="12"/>
  <c r="E12" i="12"/>
  <c r="E27" i="12"/>
  <c r="E42" i="7"/>
  <c r="E46" i="7" s="1"/>
  <c r="E48" i="7" s="1"/>
  <c r="E26" i="12" s="1"/>
  <c r="I58" i="32"/>
  <c r="I59" i="32"/>
  <c r="D15" i="34" s="1"/>
  <c r="F64" i="32"/>
  <c r="F66" i="32" s="1"/>
  <c r="O18" i="12"/>
  <c r="I43" i="7"/>
  <c r="I46" i="7"/>
  <c r="I48" i="7" s="1"/>
  <c r="I26" i="12" s="1"/>
  <c r="I28" i="12" s="1"/>
  <c r="M43" i="7"/>
  <c r="M46" i="7"/>
  <c r="M48" i="7" s="1"/>
  <c r="F42" i="7"/>
  <c r="F38" i="7"/>
  <c r="F19" i="12" s="1"/>
  <c r="N19" i="12" s="1"/>
  <c r="J43" i="7"/>
  <c r="E43" i="7" l="1"/>
  <c r="N10" i="15" a="1"/>
  <c r="H12" i="34"/>
  <c r="G14" i="34"/>
  <c r="E15" i="34"/>
  <c r="D16" i="34"/>
  <c r="J23" i="15"/>
  <c r="J24" i="15"/>
  <c r="J22" i="15"/>
  <c r="N12" i="12"/>
  <c r="O12" i="12"/>
  <c r="N27" i="12"/>
  <c r="O27" i="12"/>
  <c r="I69" i="32"/>
  <c r="I68" i="32"/>
  <c r="O19" i="12"/>
  <c r="E28" i="12"/>
  <c r="F46" i="7"/>
  <c r="F48" i="7" s="1"/>
  <c r="F26" i="12" s="1"/>
  <c r="F28" i="12" s="1"/>
  <c r="G43" i="7"/>
  <c r="F43" i="7"/>
  <c r="N10" i="15" l="1"/>
  <c r="N17" i="15"/>
  <c r="N16" i="15"/>
  <c r="N18" i="15"/>
  <c r="O18" i="15" s="1"/>
  <c r="N11" i="15"/>
  <c r="O11" i="15" s="1"/>
  <c r="N13" i="15"/>
  <c r="N19" i="15"/>
  <c r="N14" i="15"/>
  <c r="O14" i="15" s="1"/>
  <c r="N12" i="15"/>
  <c r="O12" i="15" s="1"/>
  <c r="N15" i="15"/>
  <c r="H14" i="34"/>
  <c r="I12" i="34"/>
  <c r="I14" i="34" s="1"/>
  <c r="I16" i="34" s="1"/>
  <c r="F15" i="34"/>
  <c r="E16" i="34"/>
  <c r="E20" i="34" s="1"/>
  <c r="N26" i="12"/>
  <c r="O26" i="12"/>
  <c r="N28" i="12"/>
  <c r="O28" i="12"/>
  <c r="O16" i="15" l="1"/>
  <c r="O15" i="15"/>
  <c r="O13" i="15"/>
  <c r="O17" i="15"/>
  <c r="O19" i="15"/>
  <c r="N21" i="15"/>
  <c r="N20" i="15"/>
  <c r="O20" i="15" s="1"/>
  <c r="N22" i="15"/>
  <c r="N23" i="15"/>
  <c r="N24" i="15"/>
  <c r="C28" i="34"/>
  <c r="C31" i="34" s="1"/>
  <c r="C36" i="34" s="1"/>
  <c r="C37" i="34" s="1"/>
  <c r="I20" i="34"/>
  <c r="F16" i="34"/>
  <c r="F20" i="34" s="1"/>
  <c r="G15" i="34"/>
  <c r="O21" i="15" l="1"/>
  <c r="O23" i="15"/>
  <c r="O22" i="15"/>
  <c r="O24" i="15"/>
  <c r="H15" i="34"/>
  <c r="H16" i="34" s="1"/>
  <c r="H20" i="34" s="1"/>
  <c r="G16" i="34"/>
  <c r="G20" i="34" s="1"/>
  <c r="C35" i="34" l="1"/>
  <c r="C38" i="34" s="1"/>
  <c r="C43" i="34" s="1"/>
  <c r="C45" i="34" s="1"/>
  <c r="C48" i="34" s="1"/>
</calcChain>
</file>

<file path=xl/sharedStrings.xml><?xml version="1.0" encoding="utf-8"?>
<sst xmlns="http://schemas.openxmlformats.org/spreadsheetml/2006/main" count="590" uniqueCount="400">
  <si>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</si>
  <si>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</si>
  <si>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</si>
  <si>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</si>
  <si>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</si>
  <si>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</si>
  <si>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</si>
  <si>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</si>
  <si>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</si>
  <si>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</si>
  <si>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</si>
  <si>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</si>
  <si>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</si>
  <si>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</si>
  <si>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</si>
  <si>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</si>
  <si>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</si>
  <si>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</si>
  <si>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</si>
  <si>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</si>
  <si>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</si>
  <si>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</si>
  <si>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</si>
  <si>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</si>
  <si>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</si>
  <si>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</si>
  <si>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</si>
  <si>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</si>
  <si>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</si>
  <si>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</si>
  <si>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</si>
  <si>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</si>
  <si>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</si>
  <si>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</si>
  <si>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HINDUSTAN UNILEVER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</si>
  <si>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</si>
  <si>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</si>
  <si>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</si>
  <si>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</si>
  <si>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</si>
  <si>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</si>
  <si>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</si>
  <si>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</si>
  <si>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</si>
  <si>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</si>
  <si>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</si>
  <si>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</si>
  <si>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</si>
  <si>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</si>
  <si>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</si>
  <si>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</si>
  <si>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</si>
  <si>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</si>
  <si>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</si>
  <si>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</si>
  <si>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</si>
  <si>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</si>
  <si>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Income Statement</t>
  </si>
  <si>
    <t>#</t>
  </si>
  <si>
    <t>COGS</t>
  </si>
  <si>
    <t>COGS % SALES</t>
  </si>
  <si>
    <t>GROSS PROFIT</t>
  </si>
  <si>
    <t>SALES AND ADMISTRATIVE EXPENSES</t>
  </si>
  <si>
    <t>GROSS MARGIN</t>
  </si>
  <si>
    <t>S&amp;A EXP % SALES</t>
  </si>
  <si>
    <t>EBITDA</t>
  </si>
  <si>
    <t>EBITDA MARGIN</t>
  </si>
  <si>
    <t>INTEREST</t>
  </si>
  <si>
    <t>INTEREST % SALES</t>
  </si>
  <si>
    <t>DEPRICIATION</t>
  </si>
  <si>
    <t>DEPRICIATION % SALES</t>
  </si>
  <si>
    <t>PROFIT BEFORE TAX</t>
  </si>
  <si>
    <t>PBT MARGIN</t>
  </si>
  <si>
    <t>TAX PAID</t>
  </si>
  <si>
    <t>EFFECTIVE TAX RATE</t>
  </si>
  <si>
    <t>NET PROFIT</t>
  </si>
  <si>
    <t>NP MARGIN</t>
  </si>
  <si>
    <t>EPS % growth</t>
  </si>
  <si>
    <t>DIVIDEND PER SHARE</t>
  </si>
  <si>
    <t>DIVIDEND PAYOUT RATIO</t>
  </si>
  <si>
    <t>RETAINED EARNINGS</t>
  </si>
  <si>
    <t>Fixed Assets Net Block</t>
  </si>
  <si>
    <t>Total Assets</t>
  </si>
  <si>
    <t>Total Non-Current Assets</t>
  </si>
  <si>
    <t>Total Current Assets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</si>
  <si>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</si>
  <si>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</si>
  <si>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</si>
  <si>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</si>
  <si>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</si>
  <si>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</si>
  <si>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</si>
  <si>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</si>
  <si>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</si>
  <si>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</si>
  <si>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</si>
  <si>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</si>
  <si>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</si>
  <si>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</si>
  <si>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</si>
  <si>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</si>
  <si>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</si>
  <si>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</si>
  <si>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</si>
  <si>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</si>
  <si>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</si>
  <si>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 Flow Statement</t>
  </si>
  <si>
    <t>LTM</t>
  </si>
  <si>
    <t>Operating Activity </t>
  </si>
  <si>
    <t>Cash from Operating Activities</t>
  </si>
  <si>
    <t>Investing Activity</t>
  </si>
  <si>
    <t>Financing Activity</t>
  </si>
  <si>
    <t>Cash From Financing Activities</t>
  </si>
  <si>
    <t>CHECK</t>
  </si>
  <si>
    <t>Balance Sheet</t>
  </si>
  <si>
    <t>EBITDA Growth</t>
  </si>
  <si>
    <t>EBT Growth</t>
  </si>
  <si>
    <t>PAT Growth</t>
  </si>
  <si>
    <t>EBIT Growth</t>
  </si>
  <si>
    <t>Dividend Growth</t>
  </si>
  <si>
    <t>Gross Margin</t>
  </si>
  <si>
    <t>EBITDA Margin</t>
  </si>
  <si>
    <t>EBIT Margin</t>
  </si>
  <si>
    <t>PBT Margin</t>
  </si>
  <si>
    <t>Net Profit Margin</t>
  </si>
  <si>
    <t>SalesExpense%Sales</t>
  </si>
  <si>
    <t>Depriciation%Sales</t>
  </si>
  <si>
    <t>OperatingIncome%Sales</t>
  </si>
  <si>
    <t>ReturnOnCapitalEmployed</t>
  </si>
  <si>
    <t>Retained Earning %</t>
  </si>
  <si>
    <t>Return On equity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</si>
  <si>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</si>
  <si>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</si>
  <si>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</si>
  <si>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</si>
  <si>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</si>
  <si>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 Turnover Ratio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</si>
  <si>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</si>
  <si>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</si>
  <si>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</si>
  <si>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</si>
  <si>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</si>
  <si>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</si>
  <si>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</si>
  <si>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</si>
  <si>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>MEAN</t>
  </si>
  <si>
    <t>MEDIAN</t>
  </si>
  <si>
    <t>Trend</t>
  </si>
  <si>
    <t>Year Weight</t>
  </si>
  <si>
    <t>Year</t>
  </si>
  <si>
    <t>Weighted Average Cost of Capital</t>
  </si>
  <si>
    <t>All figures are in INR unless stated otherwise</t>
  </si>
  <si>
    <t>Peer Comps</t>
  </si>
  <si>
    <t>Name of the Comp</t>
  </si>
  <si>
    <t>Country</t>
  </si>
  <si>
    <t>Total Debt</t>
  </si>
  <si>
    <t>Total Eq</t>
  </si>
  <si>
    <t>Tax Rate</t>
  </si>
  <si>
    <t>Debt/</t>
  </si>
  <si>
    <t>Equity</t>
  </si>
  <si>
    <t>Capital</t>
  </si>
  <si>
    <t>Levered</t>
  </si>
  <si>
    <t>Beta</t>
  </si>
  <si>
    <t>Unlevered</t>
  </si>
  <si>
    <t>Average</t>
  </si>
  <si>
    <t>Median</t>
  </si>
  <si>
    <t>Cost of Debt</t>
  </si>
  <si>
    <t>Post Tax Cost Of Debt</t>
  </si>
  <si>
    <t>Pre Tax Cost Of Debt</t>
  </si>
  <si>
    <t>Cost Of Equity</t>
  </si>
  <si>
    <t>Risk Free Rate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</si>
  <si>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</si>
  <si>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Equity Risk Premium</t>
  </si>
  <si>
    <t>Capital Structure</t>
  </si>
  <si>
    <t>Current</t>
  </si>
  <si>
    <t>Target</t>
  </si>
  <si>
    <t>Total Capitalization</t>
  </si>
  <si>
    <t>Debt/Equity</t>
  </si>
  <si>
    <t xml:space="preserve">Levered Beta </t>
  </si>
  <si>
    <t>Comps Median Unlevered Beta</t>
  </si>
  <si>
    <t xml:space="preserve">Target Debt/ Equity  </t>
  </si>
  <si>
    <t>Levered Beta</t>
  </si>
  <si>
    <t>1. Tax Rate considered as Marginal Tax Rate for the country</t>
  </si>
  <si>
    <t>2. Levered Beta is based on 5 year monthly data</t>
  </si>
  <si>
    <t>3. Unlevered Beta = Levered Beta/(1+(1-Tax Rate) x Debt/Equity)</t>
  </si>
  <si>
    <t>4. Levered Beta = Unlevered Beta*(1+(1-Tax Rate) x Debt/Equity)</t>
  </si>
  <si>
    <t>India</t>
  </si>
  <si>
    <t>Regression Beta</t>
  </si>
  <si>
    <t>Price</t>
  </si>
  <si>
    <t>Date</t>
  </si>
  <si>
    <t>Weekly Return</t>
  </si>
  <si>
    <t>NIFTY 50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</si>
  <si>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</si>
  <si>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</si>
  <si>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</si>
  <si>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</si>
  <si>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</si>
  <si>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</si>
  <si>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</si>
  <si>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</si>
  <si>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</si>
  <si>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</si>
  <si>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</si>
  <si>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</si>
  <si>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</si>
  <si>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</si>
  <si>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</si>
  <si>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</si>
  <si>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</si>
  <si>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</si>
  <si>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</si>
  <si>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</si>
  <si>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</si>
  <si>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</si>
  <si>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</si>
  <si>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</si>
  <si>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Leveraged Raw Beta</t>
  </si>
  <si>
    <t>Raw Beta Weight</t>
  </si>
  <si>
    <t>Beta Drifting</t>
  </si>
  <si>
    <t>Market Beta</t>
  </si>
  <si>
    <t>Market Beta Weight</t>
  </si>
  <si>
    <t>Adjusted Beta</t>
  </si>
  <si>
    <t>Annual</t>
  </si>
  <si>
    <t>Average Annual Return</t>
  </si>
  <si>
    <t>Return on Markets</t>
  </si>
  <si>
    <t>Dividend Yield</t>
  </si>
  <si>
    <t>Annual Market Return</t>
  </si>
  <si>
    <t>Weighted Cost of Debt</t>
  </si>
  <si>
    <t>Weighted Cost of Equity</t>
  </si>
  <si>
    <t>WACC</t>
  </si>
  <si>
    <t>Total Non Current Assets</t>
  </si>
  <si>
    <t>Total Liabilites</t>
  </si>
  <si>
    <t>FORECASTING BASED ON SALES AND EBITDA GROWTH</t>
  </si>
  <si>
    <t>Equity Capital</t>
  </si>
  <si>
    <t>Borrowings -</t>
  </si>
  <si>
    <t>Long term Borrowings</t>
  </si>
  <si>
    <t>Short term Borrowings</t>
  </si>
  <si>
    <t>Lease Liabilities</t>
  </si>
  <si>
    <t>Preference Capital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</si>
  <si>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</si>
  <si>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</si>
  <si>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</si>
  <si>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</si>
  <si>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</si>
  <si>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</si>
  <si>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</si>
  <si>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</si>
  <si>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</si>
  <si>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</si>
  <si>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</si>
  <si>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</si>
  <si>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</si>
  <si>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</si>
  <si>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</si>
  <si>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</si>
  <si>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</si>
  <si>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</si>
  <si>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</si>
  <si>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</si>
  <si>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</si>
  <si>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</si>
  <si>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</si>
  <si>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</si>
  <si>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</si>
  <si>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</si>
  <si>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Particulars</t>
  </si>
  <si>
    <t>Calculation of ROIC</t>
  </si>
  <si>
    <t>Current Assets</t>
  </si>
  <si>
    <t>Current Liabilities</t>
  </si>
  <si>
    <t>Net Working Capital</t>
  </si>
  <si>
    <t>Non Current Assets</t>
  </si>
  <si>
    <t>Invested Capital</t>
  </si>
  <si>
    <t>EBIT</t>
  </si>
  <si>
    <t>ROIC</t>
  </si>
  <si>
    <t>Calculation of Reinvestment Rate</t>
  </si>
  <si>
    <t>Net CAPEX</t>
  </si>
  <si>
    <t>Change in Working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</si>
  <si>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</si>
  <si>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</si>
  <si>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</si>
  <si>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</si>
  <si>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</si>
  <si>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</si>
  <si>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 Rate</t>
  </si>
  <si>
    <t>Loans Advances</t>
  </si>
  <si>
    <t>Operating Deposits</t>
  </si>
  <si>
    <t>Other operating items</t>
  </si>
  <si>
    <t>Exceptional CF items</t>
  </si>
  <si>
    <t>Invest in subsidiaries</t>
  </si>
  <si>
    <t>Loans to subsidiaries</t>
  </si>
  <si>
    <t>Free Cash Flow</t>
  </si>
  <si>
    <t>CFO/OP</t>
  </si>
  <si>
    <t>Cash From Investing Activities</t>
  </si>
  <si>
    <t>Calculation for PV of FCFF</t>
  </si>
  <si>
    <t>TAX</t>
  </si>
  <si>
    <t>EBIT(1-T)</t>
  </si>
  <si>
    <t>REINVESTMENT RATE</t>
  </si>
  <si>
    <t>FCFF</t>
  </si>
  <si>
    <t>MID YEAR CONVENTION</t>
  </si>
  <si>
    <t>DISCOUNT RATE</t>
  </si>
  <si>
    <t>PV OF FCFF</t>
  </si>
  <si>
    <t>EXPECTED GROWTH</t>
  </si>
  <si>
    <t>TERMINAL GROWTH</t>
  </si>
  <si>
    <t>Calculation for Terminal Value</t>
  </si>
  <si>
    <t>FCFF(n+1)</t>
  </si>
  <si>
    <t>TERMINAL GROWTH RATE</t>
  </si>
  <si>
    <t>TERMINAL VALUE</t>
  </si>
  <si>
    <t>Calculation for Equity Value Per Share</t>
  </si>
  <si>
    <t>PV OF FCFFs</t>
  </si>
  <si>
    <t>PV OF TERMINAL VALUE</t>
  </si>
  <si>
    <t>ENTERPRISE VALUE</t>
  </si>
  <si>
    <t>ADD: CASH</t>
  </si>
  <si>
    <t>LESS: DEBT</t>
  </si>
  <si>
    <t>EQUITY VALUE</t>
  </si>
  <si>
    <t>Hindustan Unilever</t>
  </si>
  <si>
    <t>Hind. Unilever</t>
  </si>
  <si>
    <t>ITC</t>
  </si>
  <si>
    <t>Hindustan Foods</t>
  </si>
  <si>
    <t>S.No.</t>
  </si>
  <si>
    <t>Name</t>
  </si>
  <si>
    <t>CMP Rs.</t>
  </si>
  <si>
    <t>Debt Rs.Cr.</t>
  </si>
  <si>
    <t>Nestle India</t>
  </si>
  <si>
    <t>Varun Beverages</t>
  </si>
  <si>
    <t>Britannia Inds.</t>
  </si>
  <si>
    <t>Godrej Consumer</t>
  </si>
  <si>
    <t>EQUITY VALUE PER SHARE</t>
  </si>
  <si>
    <t>NO. OF SHARES</t>
  </si>
  <si>
    <t>EPS Growth</t>
  </si>
  <si>
    <r>
      <t xml:space="preserve">Tax Rate 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</si>
  <si>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</si>
  <si>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</si>
  <si>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DCF VALUATION</t>
  </si>
  <si>
    <t>SHARE PRICE</t>
  </si>
  <si>
    <t>PREMIUM/DISCOUNT</t>
  </si>
  <si>
    <r>
      <t>Cash from Operating Activity </t>
    </r>
    <r>
      <rPr>
        <b/>
        <sz val="11"/>
        <color rgb="FF665EFD"/>
        <rFont val="Arial"/>
        <family val="2"/>
      </rPr>
      <t>-</t>
    </r>
  </si>
  <si>
    <r>
      <t>Cash from Investing Activity </t>
    </r>
    <r>
      <rPr>
        <b/>
        <sz val="11"/>
        <color rgb="FF665EFD"/>
        <rFont val="Arial"/>
        <family val="2"/>
      </rPr>
      <t>-</t>
    </r>
  </si>
  <si>
    <r>
      <t>Cash from Financing Activity </t>
    </r>
    <r>
      <rPr>
        <b/>
        <sz val="11"/>
        <color rgb="FF665EFD"/>
        <rFont val="Arial"/>
        <family val="2"/>
      </rPr>
      <t>-</t>
    </r>
  </si>
  <si>
    <t>Comparable Company Valuation</t>
  </si>
  <si>
    <t>Company</t>
  </si>
  <si>
    <t>Ticker</t>
  </si>
  <si>
    <t>Share Price</t>
  </si>
  <si>
    <t>Equity Value</t>
  </si>
  <si>
    <t>Net Debt</t>
  </si>
  <si>
    <t>Enterprise Value</t>
  </si>
  <si>
    <t>Market Share</t>
  </si>
  <si>
    <t>Financials</t>
  </si>
  <si>
    <t>Revenue</t>
  </si>
  <si>
    <t>Net Income</t>
  </si>
  <si>
    <t>Valuation</t>
  </si>
  <si>
    <t>EV/EBITDA</t>
  </si>
  <si>
    <t>EV/REVENUE</t>
  </si>
  <si>
    <t>P/E</t>
  </si>
  <si>
    <t>Tata Consumer</t>
  </si>
  <si>
    <t>Marico</t>
  </si>
  <si>
    <t>United Spirits</t>
  </si>
  <si>
    <t>Dabur India</t>
  </si>
  <si>
    <t>Colgate-Palmoliv</t>
  </si>
  <si>
    <t>Patanjali Foods</t>
  </si>
  <si>
    <t>United Breweries</t>
  </si>
  <si>
    <t>Radico Khaitan</t>
  </si>
  <si>
    <t>Godfrey Phillips</t>
  </si>
  <si>
    <t>P &amp; G Hygiene</t>
  </si>
  <si>
    <t>Gillette India</t>
  </si>
  <si>
    <t>AWL Agri Busine.</t>
  </si>
  <si>
    <t>Hatsun Agro</t>
  </si>
  <si>
    <t>Avanti Feeds</t>
  </si>
  <si>
    <t>Cash End Rs.Cr.</t>
  </si>
  <si>
    <t>Sales Ann Rs.Cr.</t>
  </si>
  <si>
    <t>NP 12M Rs.Cr.</t>
  </si>
  <si>
    <t>No. Eq. Shares Cr.</t>
  </si>
  <si>
    <t>Emami</t>
  </si>
  <si>
    <t>Bikaji Foods</t>
  </si>
  <si>
    <t>Zydus Wellness</t>
  </si>
  <si>
    <t>EID Parry</t>
  </si>
  <si>
    <t>DOMS Industries</t>
  </si>
  <si>
    <t>Market Capitalisation</t>
  </si>
  <si>
    <t>EV</t>
  </si>
  <si>
    <t>OPM %</t>
  </si>
  <si>
    <t>HINDUNILVR</t>
  </si>
  <si>
    <t>NESTLEIND</t>
  </si>
  <si>
    <t>VBL</t>
  </si>
  <si>
    <t>BRITANNIA</t>
  </si>
  <si>
    <t>GODREJCP</t>
  </si>
  <si>
    <t>TATACONSUM</t>
  </si>
  <si>
    <t>MARICO</t>
  </si>
  <si>
    <t>UNITDSPR</t>
  </si>
  <si>
    <t>DABUR</t>
  </si>
  <si>
    <r>
      <t>75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Percentile</t>
    </r>
  </si>
  <si>
    <t>High</t>
  </si>
  <si>
    <t>Low</t>
  </si>
  <si>
    <r>
      <t>25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Percentile</t>
    </r>
  </si>
  <si>
    <t>Implied Enterprise Value</t>
  </si>
  <si>
    <t>Implied Market Value</t>
  </si>
  <si>
    <t>Shares Outstanding</t>
  </si>
  <si>
    <t>Implied Market Value per Share</t>
  </si>
  <si>
    <t>Source: Screener.in</t>
  </si>
  <si>
    <t>Amount in Crores</t>
  </si>
  <si>
    <t>Share Outstanding</t>
  </si>
  <si>
    <t>HINDUSTAN UNILEVER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</si>
</sst>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[$₹-4009]\ #,##0.00;[$₹-4009]\ \-#,##0.00"/>
    <numFmt numFmtId="167" formatCode="[$₹-4009]\ #,##0.00;[$₹-4009]\ \(#,##0.00\);\-"/>
    <numFmt numFmtId="168" formatCode="[$₹-4009]\ #,##0.00;[$₹-4009]\ \-#,##0.00;\-"/>
    <numFmt numFmtId="169" formatCode="#,##0.00_);\(#,##0.00\);\-"/>
    <numFmt numFmtId="170" formatCode="0.0%"/>
    <numFmt numFmtId="171" formatCode="0.00&quot;x&quot;"/>
    <numFmt numFmtId="172" formatCode="0&quot; days&quot;"/>
    <numFmt numFmtId="173" formatCode="yyyy&quot;A&quot;"/>
    <numFmt numFmtId="174" formatCode="yyyy&quot;E&quot;"/>
    <numFmt numFmtId="175" formatCode="#,##0.0"/>
    <numFmt numFmtId="176" formatCode="[$-409]d\-mmm\-yy;@"/>
    <numFmt numFmtId="177" formatCode="#,##0.0;\(#,##0.0\);\-"/>
    <numFmt numFmtId="178" formatCode="#,##0.0_);\(#,##0.0\)"/>
    <numFmt numFmtId="179" formatCode="mmm\-yy&quot;A&quot;"/>
    <numFmt numFmtId="180" formatCode="mmm\-yy&quot;F&quot;"/>
    <numFmt numFmtId="181" formatCode="#,##0.00;\(#,##0.00\);\-"/>
    <numFmt numFmtId="182" formatCode="#,##0.0&quot;x&quot;"/>
    <numFmt numFmtId="183" formatCode="#,##0.00\x"/>
    <numFmt numFmtId="184" formatCode="#,##0.00&quot;x&quot;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theme="0" tint="-0.2499465926084170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9"/>
      <color theme="1"/>
      <name val="calibri"/>
      <family val="2"/>
    </font>
    <font>
      <sz val="11"/>
      <color rgb="FF0000CC"/>
      <name val="Calibri"/>
      <family val="2"/>
      <scheme val="minor"/>
    </font>
    <font>
      <sz val="11"/>
      <color rgb="FF0033CC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i/>
      <sz val="11"/>
      <color rgb="FF0000CC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665EFD"/>
      <name val="Arial"/>
      <family val="2"/>
    </font>
    <font>
      <b/>
      <sz val="14"/>
      <color rgb="FF1F4E78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74B1E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91">
    <xf numFmtId="0" fontId="0" fillId="0" borderId="0" xfId="0"/>
    <xf numFmtId="164" fontId="1" fillId="0" borderId="0" xfId="1" applyFont="1" applyBorder="1"/>
    <xf numFmtId="0" fontId="1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43" fontId="0" fillId="0" borderId="0" xfId="1" applyNumberFormat="1" applyFont="1" applyBorder="1"/>
    <xf numFmtId="0" fontId="2" fillId="4" borderId="0" xfId="0" applyFont="1" applyFill="1"/>
    <xf numFmtId="165" fontId="2" fillId="4" borderId="0" xfId="0" applyNumberFormat="1" applyFont="1" applyFill="1"/>
    <xf numFmtId="166" fontId="0" fillId="0" borderId="0" xfId="0" applyNumberFormat="1"/>
    <xf numFmtId="167" fontId="0" fillId="0" borderId="0" xfId="0" applyNumberFormat="1"/>
    <xf numFmtId="0" fontId="7" fillId="0" borderId="0" xfId="0" applyFont="1"/>
    <xf numFmtId="10" fontId="7" fillId="0" borderId="0" xfId="0" applyNumberFormat="1" applyFont="1"/>
    <xf numFmtId="165" fontId="2" fillId="4" borderId="0" xfId="0" applyNumberFormat="1" applyFont="1" applyFill="1" applyAlignment="1">
      <alignment horizontal="right"/>
    </xf>
    <xf numFmtId="4" fontId="0" fillId="0" borderId="0" xfId="0" applyNumberFormat="1"/>
    <xf numFmtId="168" fontId="0" fillId="0" borderId="0" xfId="0" applyNumberFormat="1"/>
    <xf numFmtId="0" fontId="2" fillId="5" borderId="0" xfId="0" applyFont="1" applyFill="1"/>
    <xf numFmtId="0" fontId="0" fillId="5" borderId="0" xfId="0" applyFill="1"/>
    <xf numFmtId="168" fontId="1" fillId="0" borderId="0" xfId="0" applyNumberFormat="1" applyFont="1"/>
    <xf numFmtId="169" fontId="0" fillId="0" borderId="0" xfId="0" applyNumberFormat="1"/>
    <xf numFmtId="0" fontId="8" fillId="0" borderId="0" xfId="0" applyFont="1"/>
    <xf numFmtId="168" fontId="8" fillId="0" borderId="0" xfId="0" applyNumberFormat="1" applyFont="1"/>
    <xf numFmtId="0" fontId="1" fillId="0" borderId="1" xfId="0" applyFont="1" applyBorder="1"/>
    <xf numFmtId="167" fontId="1" fillId="0" borderId="1" xfId="0" applyNumberFormat="1" applyFont="1" applyBorder="1"/>
    <xf numFmtId="0" fontId="0" fillId="0" borderId="1" xfId="0" applyBorder="1"/>
    <xf numFmtId="168" fontId="1" fillId="0" borderId="1" xfId="0" applyNumberFormat="1" applyFont="1" applyBorder="1"/>
    <xf numFmtId="10" fontId="1" fillId="0" borderId="1" xfId="0" applyNumberFormat="1" applyFont="1" applyBorder="1"/>
    <xf numFmtId="166" fontId="1" fillId="0" borderId="1" xfId="0" applyNumberFormat="1" applyFont="1" applyBorder="1"/>
    <xf numFmtId="171" fontId="0" fillId="0" borderId="0" xfId="0" applyNumberFormat="1"/>
    <xf numFmtId="172" fontId="0" fillId="0" borderId="0" xfId="0" applyNumberFormat="1"/>
    <xf numFmtId="0" fontId="0" fillId="0" borderId="2" xfId="0" applyBorder="1"/>
    <xf numFmtId="0" fontId="0" fillId="0" borderId="3" xfId="0" applyBorder="1"/>
    <xf numFmtId="10" fontId="0" fillId="0" borderId="2" xfId="0" applyNumberFormat="1" applyBorder="1"/>
    <xf numFmtId="170" fontId="0" fillId="0" borderId="2" xfId="0" applyNumberFormat="1" applyBorder="1"/>
    <xf numFmtId="170" fontId="0" fillId="0" borderId="0" xfId="0" applyNumberFormat="1"/>
    <xf numFmtId="10" fontId="0" fillId="0" borderId="3" xfId="0" applyNumberFormat="1" applyBorder="1"/>
    <xf numFmtId="170" fontId="0" fillId="0" borderId="3" xfId="0" applyNumberFormat="1" applyBorder="1"/>
    <xf numFmtId="171" fontId="0" fillId="0" borderId="3" xfId="0" applyNumberFormat="1" applyBorder="1"/>
    <xf numFmtId="171" fontId="0" fillId="0" borderId="2" xfId="0" applyNumberFormat="1" applyBorder="1"/>
    <xf numFmtId="172" fontId="0" fillId="0" borderId="2" xfId="0" applyNumberFormat="1" applyBorder="1"/>
    <xf numFmtId="172" fontId="0" fillId="0" borderId="3" xfId="0" applyNumberFormat="1" applyBorder="1"/>
    <xf numFmtId="165" fontId="2" fillId="4" borderId="0" xfId="0" applyNumberFormat="1" applyFont="1" applyFill="1" applyAlignment="1">
      <alignment horizontal="center"/>
    </xf>
    <xf numFmtId="0" fontId="0" fillId="0" borderId="0" xfId="0" applyAlignment="1">
      <alignment horizontal="right"/>
    </xf>
    <xf numFmtId="173" fontId="0" fillId="0" borderId="0" xfId="0" applyNumberFormat="1" applyAlignment="1">
      <alignment horizontal="right"/>
    </xf>
    <xf numFmtId="0" fontId="2" fillId="4" borderId="0" xfId="0" applyFont="1" applyFill="1" applyAlignment="1">
      <alignment horizontal="right"/>
    </xf>
    <xf numFmtId="0" fontId="0" fillId="6" borderId="0" xfId="0" applyFill="1"/>
    <xf numFmtId="174" fontId="0" fillId="6" borderId="0" xfId="0" applyNumberFormat="1" applyFill="1" applyAlignment="1">
      <alignment horizontal="right"/>
    </xf>
    <xf numFmtId="175" fontId="0" fillId="0" borderId="0" xfId="0" applyNumberFormat="1" applyAlignment="1">
      <alignment horizontal="right"/>
    </xf>
    <xf numFmtId="175" fontId="0" fillId="6" borderId="0" xfId="0" applyNumberFormat="1" applyFill="1" applyAlignment="1">
      <alignment horizontal="right"/>
    </xf>
    <xf numFmtId="10" fontId="0" fillId="6" borderId="0" xfId="0" applyNumberFormat="1" applyFill="1"/>
    <xf numFmtId="0" fontId="1" fillId="7" borderId="0" xfId="0" applyFont="1" applyFill="1"/>
    <xf numFmtId="0" fontId="0" fillId="7" borderId="0" xfId="0" applyFill="1"/>
    <xf numFmtId="0" fontId="0" fillId="0" borderId="6" xfId="0" applyBorder="1"/>
    <xf numFmtId="0" fontId="1" fillId="0" borderId="5" xfId="0" applyFont="1" applyBorder="1"/>
    <xf numFmtId="0" fontId="1" fillId="0" borderId="6" xfId="0" applyFont="1" applyBorder="1"/>
    <xf numFmtId="0" fontId="1" fillId="0" borderId="4" xfId="0" applyFont="1" applyBorder="1"/>
    <xf numFmtId="0" fontId="0" fillId="0" borderId="4" xfId="0" applyBorder="1"/>
    <xf numFmtId="0" fontId="0" fillId="0" borderId="7" xfId="0" applyBorder="1"/>
    <xf numFmtId="0" fontId="9" fillId="0" borderId="6" xfId="0" applyFont="1" applyBorder="1" applyAlignment="1">
      <alignment horizontal="right"/>
    </xf>
    <xf numFmtId="0" fontId="9" fillId="0" borderId="6" xfId="0" applyFont="1" applyBorder="1"/>
    <xf numFmtId="0" fontId="9" fillId="0" borderId="0" xfId="0" applyFont="1"/>
    <xf numFmtId="2" fontId="0" fillId="0" borderId="0" xfId="0" applyNumberFormat="1"/>
    <xf numFmtId="0" fontId="9" fillId="0" borderId="4" xfId="0" applyFont="1" applyBorder="1"/>
    <xf numFmtId="0" fontId="12" fillId="0" borderId="0" xfId="0" applyFont="1"/>
    <xf numFmtId="0" fontId="0" fillId="0" borderId="6" xfId="0" applyBorder="1" applyAlignment="1">
      <alignment horizontal="right"/>
    </xf>
    <xf numFmtId="4" fontId="13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5" xfId="0" applyNumberFormat="1" applyBorder="1"/>
    <xf numFmtId="10" fontId="0" fillId="0" borderId="4" xfId="0" applyNumberFormat="1" applyBorder="1"/>
    <xf numFmtId="0" fontId="2" fillId="9" borderId="0" xfId="0" applyFont="1" applyFill="1"/>
    <xf numFmtId="0" fontId="0" fillId="9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8" borderId="0" xfId="0" applyFont="1" applyFill="1" applyAlignment="1">
      <alignment horizontal="left"/>
    </xf>
    <xf numFmtId="176" fontId="0" fillId="0" borderId="0" xfId="0" applyNumberFormat="1" applyAlignment="1">
      <alignment horizontal="left"/>
    </xf>
    <xf numFmtId="0" fontId="1" fillId="8" borderId="0" xfId="0" applyFont="1" applyFill="1" applyAlignment="1">
      <alignment horizontal="right"/>
    </xf>
    <xf numFmtId="0" fontId="1" fillId="8" borderId="0" xfId="0" applyFont="1" applyFill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6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6" borderId="0" xfId="0" applyNumberFormat="1" applyFill="1"/>
    <xf numFmtId="0" fontId="1" fillId="6" borderId="0" xfId="0" applyFont="1" applyFill="1"/>
    <xf numFmtId="4" fontId="7" fillId="0" borderId="0" xfId="0" applyNumberFormat="1" applyFont="1"/>
    <xf numFmtId="9" fontId="14" fillId="0" borderId="0" xfId="0" applyNumberFormat="1" applyFont="1"/>
    <xf numFmtId="10" fontId="0" fillId="0" borderId="7" xfId="0" applyNumberFormat="1" applyBorder="1"/>
    <xf numFmtId="9" fontId="0" fillId="0" borderId="3" xfId="0" applyNumberFormat="1" applyBorder="1"/>
    <xf numFmtId="2" fontId="1" fillId="6" borderId="0" xfId="0" applyNumberFormat="1" applyFont="1" applyFill="1"/>
    <xf numFmtId="0" fontId="1" fillId="0" borderId="0" xfId="0" applyFont="1" applyAlignment="1">
      <alignment horizontal="right"/>
    </xf>
    <xf numFmtId="10" fontId="0" fillId="0" borderId="0" xfId="4" applyNumberFormat="1" applyFont="1"/>
    <xf numFmtId="10" fontId="14" fillId="0" borderId="0" xfId="4" applyNumberFormat="1" applyFont="1"/>
    <xf numFmtId="0" fontId="0" fillId="10" borderId="8" xfId="0" applyFill="1" applyBorder="1"/>
    <xf numFmtId="10" fontId="0" fillId="10" borderId="8" xfId="0" applyNumberFormat="1" applyFill="1" applyBorder="1"/>
    <xf numFmtId="164" fontId="1" fillId="0" borderId="4" xfId="1" applyFont="1" applyBorder="1"/>
    <xf numFmtId="10" fontId="0" fillId="0" borderId="4" xfId="4" applyNumberFormat="1" applyFont="1" applyBorder="1"/>
    <xf numFmtId="164" fontId="1" fillId="0" borderId="4" xfId="1" applyFont="1" applyFill="1" applyBorder="1"/>
    <xf numFmtId="164" fontId="1" fillId="0" borderId="2" xfId="1" applyFont="1" applyBorder="1"/>
    <xf numFmtId="164" fontId="1" fillId="0" borderId="2" xfId="1" applyFont="1" applyFill="1" applyBorder="1"/>
    <xf numFmtId="10" fontId="0" fillId="0" borderId="2" xfId="4" applyNumberFormat="1" applyFont="1" applyBorder="1"/>
    <xf numFmtId="164" fontId="0" fillId="0" borderId="2" xfId="1" applyFont="1" applyBorder="1"/>
    <xf numFmtId="10" fontId="0" fillId="0" borderId="0" xfId="4" applyNumberFormat="1" applyFont="1" applyBorder="1"/>
    <xf numFmtId="3" fontId="0" fillId="0" borderId="0" xfId="0" applyNumberFormat="1" applyAlignment="1">
      <alignment horizontal="right"/>
    </xf>
    <xf numFmtId="177" fontId="0" fillId="0" borderId="1" xfId="0" applyNumberFormat="1" applyBorder="1" applyAlignment="1">
      <alignment horizontal="right"/>
    </xf>
    <xf numFmtId="177" fontId="0" fillId="0" borderId="2" xfId="0" applyNumberFormat="1" applyBorder="1" applyAlignment="1">
      <alignment horizontal="right"/>
    </xf>
    <xf numFmtId="3" fontId="1" fillId="0" borderId="11" xfId="0" applyNumberFormat="1" applyFont="1" applyBorder="1" applyAlignment="1">
      <alignment horizontal="right"/>
    </xf>
    <xf numFmtId="17" fontId="2" fillId="4" borderId="0" xfId="0" applyNumberFormat="1" applyFont="1" applyFill="1"/>
    <xf numFmtId="177" fontId="0" fillId="0" borderId="1" xfId="0" applyNumberFormat="1" applyBorder="1"/>
    <xf numFmtId="177" fontId="0" fillId="0" borderId="2" xfId="0" applyNumberFormat="1" applyBorder="1"/>
    <xf numFmtId="177" fontId="0" fillId="0" borderId="5" xfId="0" applyNumberFormat="1" applyBorder="1"/>
    <xf numFmtId="177" fontId="0" fillId="0" borderId="5" xfId="0" applyNumberFormat="1" applyBorder="1" applyAlignment="1">
      <alignment horizontal="right"/>
    </xf>
    <xf numFmtId="177" fontId="0" fillId="0" borderId="0" xfId="0" applyNumberFormat="1" applyAlignment="1">
      <alignment horizontal="right"/>
    </xf>
    <xf numFmtId="177" fontId="1" fillId="0" borderId="5" xfId="0" applyNumberFormat="1" applyFont="1" applyBorder="1" applyAlignment="1">
      <alignment horizontal="right"/>
    </xf>
    <xf numFmtId="177" fontId="1" fillId="0" borderId="11" xfId="0" applyNumberFormat="1" applyFont="1" applyBorder="1" applyAlignment="1">
      <alignment horizontal="right"/>
    </xf>
    <xf numFmtId="177" fontId="1" fillId="0" borderId="5" xfId="0" applyNumberFormat="1" applyFont="1" applyBorder="1"/>
    <xf numFmtId="177" fontId="0" fillId="0" borderId="6" xfId="0" applyNumberFormat="1" applyBorder="1"/>
    <xf numFmtId="177" fontId="0" fillId="0" borderId="0" xfId="0" applyNumberFormat="1"/>
    <xf numFmtId="177" fontId="1" fillId="0" borderId="11" xfId="0" applyNumberFormat="1" applyFont="1" applyBorder="1"/>
    <xf numFmtId="178" fontId="1" fillId="0" borderId="0" xfId="0" applyNumberFormat="1" applyFont="1"/>
    <xf numFmtId="0" fontId="1" fillId="0" borderId="11" xfId="0" applyFont="1" applyBorder="1"/>
    <xf numFmtId="10" fontId="1" fillId="0" borderId="11" xfId="0" applyNumberFormat="1" applyFont="1" applyBorder="1"/>
    <xf numFmtId="9" fontId="18" fillId="0" borderId="0" xfId="0" applyNumberFormat="1" applyFont="1"/>
    <xf numFmtId="0" fontId="1" fillId="10" borderId="0" xfId="0" applyFont="1" applyFill="1"/>
    <xf numFmtId="0" fontId="0" fillId="10" borderId="0" xfId="0" applyFill="1"/>
    <xf numFmtId="10" fontId="0" fillId="10" borderId="0" xfId="0" applyNumberFormat="1" applyFill="1"/>
    <xf numFmtId="177" fontId="1" fillId="0" borderId="0" xfId="0" applyNumberFormat="1" applyFont="1"/>
    <xf numFmtId="10" fontId="1" fillId="0" borderId="0" xfId="0" applyNumberFormat="1" applyFont="1"/>
    <xf numFmtId="3" fontId="0" fillId="0" borderId="0" xfId="0" applyNumberFormat="1"/>
    <xf numFmtId="179" fontId="2" fillId="4" borderId="0" xfId="0" applyNumberFormat="1" applyFont="1" applyFill="1"/>
    <xf numFmtId="180" fontId="2" fillId="4" borderId="0" xfId="0" applyNumberFormat="1" applyFont="1" applyFill="1"/>
    <xf numFmtId="181" fontId="0" fillId="0" borderId="1" xfId="0" applyNumberFormat="1" applyBorder="1"/>
    <xf numFmtId="9" fontId="13" fillId="0" borderId="1" xfId="0" applyNumberFormat="1" applyFont="1" applyBorder="1"/>
    <xf numFmtId="9" fontId="0" fillId="0" borderId="1" xfId="0" applyNumberFormat="1" applyBorder="1"/>
    <xf numFmtId="10" fontId="0" fillId="0" borderId="1" xfId="0" applyNumberFormat="1" applyBorder="1"/>
    <xf numFmtId="10" fontId="13" fillId="0" borderId="1" xfId="0" applyNumberFormat="1" applyFont="1" applyBorder="1"/>
    <xf numFmtId="0" fontId="0" fillId="6" borderId="1" xfId="0" applyFill="1" applyBorder="1"/>
    <xf numFmtId="0" fontId="13" fillId="0" borderId="1" xfId="0" applyFont="1" applyBorder="1"/>
    <xf numFmtId="0" fontId="1" fillId="6" borderId="11" xfId="0" applyFont="1" applyFill="1" applyBorder="1"/>
    <xf numFmtId="0" fontId="0" fillId="0" borderId="9" xfId="0" applyBorder="1"/>
    <xf numFmtId="0" fontId="10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Continuous"/>
    </xf>
    <xf numFmtId="181" fontId="0" fillId="0" borderId="0" xfId="0" applyNumberFormat="1"/>
    <xf numFmtId="181" fontId="1" fillId="0" borderId="0" xfId="0" applyNumberFormat="1" applyFont="1"/>
    <xf numFmtId="181" fontId="1" fillId="0" borderId="11" xfId="0" applyNumberFormat="1" applyFont="1" applyBorder="1"/>
    <xf numFmtId="178" fontId="1" fillId="0" borderId="11" xfId="0" applyNumberFormat="1" applyFont="1" applyBorder="1"/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2" fillId="4" borderId="11" xfId="0" applyFont="1" applyFill="1" applyBorder="1"/>
    <xf numFmtId="181" fontId="2" fillId="4" borderId="11" xfId="0" applyNumberFormat="1" applyFont="1" applyFill="1" applyBorder="1"/>
    <xf numFmtId="182" fontId="0" fillId="0" borderId="0" xfId="0" applyNumberFormat="1"/>
    <xf numFmtId="0" fontId="13" fillId="0" borderId="0" xfId="0" applyFont="1"/>
    <xf numFmtId="10" fontId="13" fillId="0" borderId="0" xfId="0" applyNumberFormat="1" applyFont="1" applyAlignment="1">
      <alignment horizontal="right"/>
    </xf>
    <xf numFmtId="9" fontId="0" fillId="0" borderId="0" xfId="4" applyFont="1"/>
    <xf numFmtId="0" fontId="0" fillId="12" borderId="6" xfId="0" applyFill="1" applyBorder="1"/>
    <xf numFmtId="0" fontId="0" fillId="12" borderId="6" xfId="0" applyFill="1" applyBorder="1" applyAlignment="1">
      <alignment horizontal="right"/>
    </xf>
    <xf numFmtId="0" fontId="2" fillId="4" borderId="0" xfId="0" applyFont="1" applyFill="1" applyAlignment="1">
      <alignment horizontal="right" wrapText="1"/>
    </xf>
    <xf numFmtId="9" fontId="0" fillId="0" borderId="0" xfId="4" applyFont="1" applyAlignment="1">
      <alignment horizontal="right"/>
    </xf>
    <xf numFmtId="0" fontId="0" fillId="0" borderId="13" xfId="0" applyBorder="1"/>
    <xf numFmtId="3" fontId="0" fillId="0" borderId="13" xfId="0" applyNumberFormat="1" applyBorder="1" applyAlignment="1">
      <alignment horizontal="right"/>
    </xf>
    <xf numFmtId="0" fontId="0" fillId="0" borderId="13" xfId="0" applyBorder="1" applyAlignment="1">
      <alignment horizontal="right"/>
    </xf>
    <xf numFmtId="184" fontId="0" fillId="0" borderId="13" xfId="4" applyNumberFormat="1" applyFont="1" applyBorder="1" applyAlignment="1">
      <alignment horizontal="right"/>
    </xf>
    <xf numFmtId="0" fontId="0" fillId="6" borderId="0" xfId="0" applyFill="1" applyAlignment="1">
      <alignment horizontal="right"/>
    </xf>
    <xf numFmtId="183" fontId="0" fillId="6" borderId="0" xfId="0" applyNumberFormat="1" applyFill="1" applyAlignment="1">
      <alignment horizontal="right"/>
    </xf>
    <xf numFmtId="184" fontId="0" fillId="6" borderId="0" xfId="0" applyNumberFormat="1" applyFill="1" applyAlignment="1">
      <alignment horizontal="right"/>
    </xf>
    <xf numFmtId="0" fontId="1" fillId="6" borderId="0" xfId="0" applyFont="1" applyFill="1" applyAlignment="1">
      <alignment horizontal="right"/>
    </xf>
    <xf numFmtId="183" fontId="1" fillId="6" borderId="0" xfId="0" applyNumberFormat="1" applyFont="1" applyFill="1" applyAlignment="1">
      <alignment horizontal="right"/>
    </xf>
    <xf numFmtId="0" fontId="1" fillId="6" borderId="11" xfId="0" applyFont="1" applyFill="1" applyBorder="1" applyAlignment="1">
      <alignment horizontal="right"/>
    </xf>
    <xf numFmtId="4" fontId="1" fillId="6" borderId="11" xfId="0" applyNumberFormat="1" applyFont="1" applyFill="1" applyBorder="1" applyAlignment="1">
      <alignment horizontal="right"/>
    </xf>
    <xf numFmtId="0" fontId="21" fillId="12" borderId="6" xfId="0" applyFont="1" applyFill="1" applyBorder="1"/>
    <xf numFmtId="0" fontId="2" fillId="4" borderId="0" xfId="0" applyFont="1" applyFill="1" applyAlignment="1">
      <alignment horizontal="left"/>
    </xf>
    <xf numFmtId="17" fontId="2" fillId="4" borderId="0" xfId="0" applyNumberFormat="1" applyFont="1" applyFill="1" applyAlignment="1">
      <alignment horizontal="right"/>
    </xf>
    <xf numFmtId="17" fontId="2" fillId="4" borderId="0" xfId="0" applyNumberFormat="1" applyFont="1" applyFill="1" applyAlignment="1">
      <alignment horizontal="left"/>
    </xf>
    <xf numFmtId="184" fontId="0" fillId="0" borderId="13" xfId="0" applyNumberFormat="1" applyBorder="1" applyAlignment="1">
      <alignment horizontal="right"/>
    </xf>
    <xf numFmtId="0" fontId="22" fillId="0" borderId="0" xfId="0" applyFont="1" applyAlignment="1">
      <alignment vertical="center"/>
    </xf>
    <xf numFmtId="0" fontId="23" fillId="4" borderId="0" xfId="0" applyFont="1" applyFill="1" applyAlignment="1">
      <alignment vertical="center"/>
    </xf>
    <xf numFmtId="0" fontId="23" fillId="12" borderId="0" xfId="0" applyFont="1" applyFill="1" applyAlignment="1">
      <alignment vertical="center"/>
    </xf>
    <xf numFmtId="0" fontId="5" fillId="12" borderId="0" xfId="0" applyFont="1" applyFill="1"/>
    <xf numFmtId="0" fontId="0" fillId="12" borderId="0" xfId="0" applyFill="1"/>
    <xf numFmtId="0" fontId="16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" fillId="4" borderId="1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" fillId="8" borderId="3" xfId="0" applyFont="1" applyFill="1" applyBorder="1" applyAlignment="1">
      <alignment horizontal="center"/>
    </xf>
    <xf numFmtId="164" fontId="1" fillId="8" borderId="0" xfId="1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4" fontId="15" fillId="9" borderId="0" xfId="0" applyNumberFormat="1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7">
    <dxf>
      <font>
        <b/>
        <i val="0"/>
        <color theme="0"/>
      </font>
      <fill>
        <patternFill>
          <bgColor theme="5"/>
        </patternFill>
      </fill>
    </dxf>
    <dxf>
      <font>
        <color rgb="FF00B050"/>
      </font>
      <fill>
        <patternFill>
          <bgColor rgb="FF9AF82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86FB2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FF62A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1F4E78"/>
      <color rgb="FF9AF828"/>
      <color rgb="FF86FB25"/>
      <color rgb="FF9FF62A"/>
      <color rgb="FF0000CC"/>
      <color rgb="FF0033CC"/>
      <color rgb="FF000099"/>
      <color rgb="FF0275D8"/>
      <color rgb="FF74B1E4"/>
      <color rgb="FF6C6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EPS</a:t>
            </a:r>
            <a:r>
              <a:rPr lang="en-US" baseline="0"/>
              <a:t> Forecast</a:t>
            </a:r>
          </a:p>
        </c:rich>
      </c:tx>
      <c:layout>
        <c:manualLayout>
          <c:xMode val="edge"/>
          <c:yMode val="edge"/>
          <c:x val="0.3840623359580052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Forecasting!$N$9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Forecasting!$M$10:$M$24</c:f>
              <c:numCache>
                <c:formatCode>yyyy"A"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43920</c:v>
                </c:pt>
                <c:pt idx="5">
                  <c:v>44285</c:v>
                </c:pt>
                <c:pt idx="6">
                  <c:v>44650</c:v>
                </c:pt>
                <c:pt idx="7">
                  <c:v>45015</c:v>
                </c:pt>
                <c:pt idx="8">
                  <c:v>45380</c:v>
                </c:pt>
                <c:pt idx="9">
                  <c:v>45745</c:v>
                </c:pt>
                <c:pt idx="10" formatCode="yyyy&quot;E&quot;">
                  <c:v>46110</c:v>
                </c:pt>
                <c:pt idx="11" formatCode="yyyy&quot;E&quot;">
                  <c:v>46475</c:v>
                </c:pt>
                <c:pt idx="12" formatCode="yyyy&quot;E&quot;">
                  <c:v>46840</c:v>
                </c:pt>
                <c:pt idx="13" formatCode="yyyy&quot;E&quot;">
                  <c:v>47205</c:v>
                </c:pt>
                <c:pt idx="14" formatCode="yyyy&quot;E&quot;">
                  <c:v>47570</c:v>
                </c:pt>
              </c:numCache>
            </c:numRef>
          </c:cat>
          <c:val>
            <c:numRef>
              <c:f>Forecasting!$N$10:$N$24</c:f>
              <c:numCache>
                <c:formatCode>#,##0.0</c:formatCode>
                <c:ptCount val="15"/>
                <c:pt idx="0">
                  <c:v>16.937011876704101</c:v>
                </c:pt>
                <c:pt idx="1">
                  <c:v>17.945756133622879</c:v>
                </c:pt>
                <c:pt idx="2">
                  <c:v>22.51790251790252</c:v>
                </c:pt>
                <c:pt idx="3">
                  <c:v>26.507137247655564</c:v>
                </c:pt>
                <c:pt idx="4">
                  <c:v>29.249815225424982</c:v>
                </c:pt>
                <c:pt idx="5">
                  <c:v>33.320565202587673</c:v>
                </c:pt>
                <c:pt idx="6">
                  <c:v>36.912665985699689</c:v>
                </c:pt>
                <c:pt idx="7">
                  <c:v>41.262342526387471</c:v>
                </c:pt>
                <c:pt idx="8">
                  <c:v>40.283452502553622</c:v>
                </c:pt>
                <c:pt idx="9">
                  <c:v>39.789751447054819</c:v>
                </c:pt>
                <c:pt idx="10">
                  <c:v>46.840908964872376</c:v>
                </c:pt>
                <c:pt idx="11">
                  <c:v>49.816957855474747</c:v>
                </c:pt>
                <c:pt idx="12">
                  <c:v>52.793006746077118</c:v>
                </c:pt>
                <c:pt idx="13">
                  <c:v>55.769055636679497</c:v>
                </c:pt>
                <c:pt idx="14">
                  <c:v>58.745104527281867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8-4CE2-BEE7-27EEE632A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3364239"/>
        <c:axId val="353366639"/>
      </c:barChart>
      <c:lineChart>
        <c:grouping val="standard"/>
        <c:varyColors val="0"/>
        <c:ser>
          <c:idx val="1"/>
          <c:order val="1"/>
          <c:tx>
            <c:strRef>
              <c:f>Forecasting!$O$9</c:f>
              <c:strCache>
                <c:ptCount val="1"/>
                <c:pt idx="0">
                  <c:v>EPS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Forecasting!$M$10:$M$24</c:f>
              <c:numCache>
                <c:formatCode>yyyy"A"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43920</c:v>
                </c:pt>
                <c:pt idx="5">
                  <c:v>44285</c:v>
                </c:pt>
                <c:pt idx="6">
                  <c:v>44650</c:v>
                </c:pt>
                <c:pt idx="7">
                  <c:v>45015</c:v>
                </c:pt>
                <c:pt idx="8">
                  <c:v>45380</c:v>
                </c:pt>
                <c:pt idx="9">
                  <c:v>45745</c:v>
                </c:pt>
                <c:pt idx="10" formatCode="yyyy&quot;E&quot;">
                  <c:v>46110</c:v>
                </c:pt>
                <c:pt idx="11" formatCode="yyyy&quot;E&quot;">
                  <c:v>46475</c:v>
                </c:pt>
                <c:pt idx="12" formatCode="yyyy&quot;E&quot;">
                  <c:v>46840</c:v>
                </c:pt>
                <c:pt idx="13" formatCode="yyyy&quot;E&quot;">
                  <c:v>47205</c:v>
                </c:pt>
                <c:pt idx="14" formatCode="yyyy&quot;E&quot;">
                  <c:v>47570</c:v>
                </c:pt>
              </c:numCache>
            </c:numRef>
          </c:cat>
          <c:val>
            <c:numRef>
              <c:f>Forecasting!$O$10:$O$24</c:f>
              <c:numCache>
                <c:formatCode>0.00%</c:formatCode>
                <c:ptCount val="15"/>
                <c:pt idx="1">
                  <c:v>5.9558572920778818E-2</c:v>
                </c:pt>
                <c:pt idx="2">
                  <c:v>0.25477591193348159</c:v>
                </c:pt>
                <c:pt idx="3">
                  <c:v>0.17715836217789205</c:v>
                </c:pt>
                <c:pt idx="4">
                  <c:v>0.10346941475213423</c:v>
                </c:pt>
                <c:pt idx="5">
                  <c:v>0.1391718185496178</c:v>
                </c:pt>
                <c:pt idx="6">
                  <c:v>0.10780431728190054</c:v>
                </c:pt>
                <c:pt idx="7">
                  <c:v>0.11783696529459253</c:v>
                </c:pt>
                <c:pt idx="8">
                  <c:v>-2.3723568849922771E-2</c:v>
                </c:pt>
                <c:pt idx="9">
                  <c:v>-1.2255678816692983E-2</c:v>
                </c:pt>
                <c:pt idx="10">
                  <c:v>0.17721039366631874</c:v>
                </c:pt>
                <c:pt idx="11">
                  <c:v>6.3535250625349926E-2</c:v>
                </c:pt>
                <c:pt idx="12">
                  <c:v>5.9739675377935786E-2</c:v>
                </c:pt>
                <c:pt idx="13">
                  <c:v>5.6372028683960407E-2</c:v>
                </c:pt>
                <c:pt idx="14">
                  <c:v>5.3363802858533926E-2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8-4CE2-BEE7-27EEE632A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354639"/>
        <c:axId val="353357999"/>
      </c:lineChart>
      <c:dateAx>
        <c:axId val="353364239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366639"/>
        <c:crosses val="autoZero"/>
        <c:auto val="1"/>
        <c:lblOffset val="100"/>
        <c:baseTimeUnit val="years"/>
      </c:dateAx>
      <c:valAx>
        <c:axId val="35336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364239"/>
        <c:crosses val="autoZero"/>
        <c:crossBetween val="between"/>
      </c:valAx>
      <c:valAx>
        <c:axId val="35335799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354639"/>
        <c:crosses val="max"/>
        <c:crossBetween val="between"/>
      </c:valAx>
      <c:dateAx>
        <c:axId val="353354639"/>
        <c:scaling>
          <c:orientation val="minMax"/>
        </c:scaling>
        <c:delete val="1"/>
        <c:axPos val="b"/>
        <c:numFmt formatCode="yyyy&quot;A&quot;" sourceLinked="1"/>
        <c:majorTickMark val="out"/>
        <c:minorTickMark val="none"/>
        <c:tickLblPos val="nextTo"/>
        <c:crossAx val="353357999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Forecasting!$I$9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Forecasting!$H$10:$H$24</c:f>
              <c:numCache>
                <c:formatCode>yyyy"A"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43920</c:v>
                </c:pt>
                <c:pt idx="5">
                  <c:v>44285</c:v>
                </c:pt>
                <c:pt idx="6">
                  <c:v>44650</c:v>
                </c:pt>
                <c:pt idx="7">
                  <c:v>45015</c:v>
                </c:pt>
                <c:pt idx="8">
                  <c:v>45380</c:v>
                </c:pt>
                <c:pt idx="9">
                  <c:v>45745</c:v>
                </c:pt>
                <c:pt idx="10" formatCode="yyyy&quot;E&quot;">
                  <c:v>46110</c:v>
                </c:pt>
                <c:pt idx="11" formatCode="yyyy&quot;E&quot;">
                  <c:v>46475</c:v>
                </c:pt>
                <c:pt idx="12" formatCode="yyyy&quot;E&quot;">
                  <c:v>46840</c:v>
                </c:pt>
                <c:pt idx="13" formatCode="yyyy&quot;E&quot;">
                  <c:v>47205</c:v>
                </c:pt>
                <c:pt idx="14" formatCode="yyyy&quot;E&quot;">
                  <c:v>47570</c:v>
                </c:pt>
              </c:numCache>
            </c:numRef>
          </c:cat>
          <c:val>
            <c:numRef>
              <c:f>Forecasting!$I$10:$I$24</c:f>
              <c:numCache>
                <c:formatCode>#,##0.0</c:formatCode>
                <c:ptCount val="15"/>
                <c:pt idx="0">
                  <c:v>5910</c:v>
                </c:pt>
                <c:pt idx="1">
                  <c:v>6328</c:v>
                </c:pt>
                <c:pt idx="2">
                  <c:v>7499</c:v>
                </c:pt>
                <c:pt idx="3">
                  <c:v>8880</c:v>
                </c:pt>
                <c:pt idx="4">
                  <c:v>9861</c:v>
                </c:pt>
                <c:pt idx="5">
                  <c:v>11626</c:v>
                </c:pt>
                <c:pt idx="6">
                  <c:v>12857</c:v>
                </c:pt>
                <c:pt idx="7">
                  <c:v>14147</c:v>
                </c:pt>
                <c:pt idx="8">
                  <c:v>14659</c:v>
                </c:pt>
                <c:pt idx="9">
                  <c:v>14843</c:v>
                </c:pt>
                <c:pt idx="10">
                  <c:v>16849.333333333336</c:v>
                </c:pt>
                <c:pt idx="11">
                  <c:v>17974.484848484848</c:v>
                </c:pt>
                <c:pt idx="12">
                  <c:v>19099.636363636364</c:v>
                </c:pt>
                <c:pt idx="13">
                  <c:v>20224.78787878788</c:v>
                </c:pt>
                <c:pt idx="14">
                  <c:v>21349.939393939392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1-492F-A349-2406C41C9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203727"/>
        <c:axId val="436197967"/>
      </c:barChart>
      <c:lineChart>
        <c:grouping val="standard"/>
        <c:varyColors val="0"/>
        <c:ser>
          <c:idx val="1"/>
          <c:order val="1"/>
          <c:tx>
            <c:strRef>
              <c:f>Forecasting!$J$9</c:f>
              <c:strCache>
                <c:ptCount val="1"/>
                <c:pt idx="0">
                  <c:v>EBITDA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Forecasting!$H$10:$H$24</c:f>
              <c:numCache>
                <c:formatCode>yyyy"A"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43920</c:v>
                </c:pt>
                <c:pt idx="5">
                  <c:v>44285</c:v>
                </c:pt>
                <c:pt idx="6">
                  <c:v>44650</c:v>
                </c:pt>
                <c:pt idx="7">
                  <c:v>45015</c:v>
                </c:pt>
                <c:pt idx="8">
                  <c:v>45380</c:v>
                </c:pt>
                <c:pt idx="9">
                  <c:v>45745</c:v>
                </c:pt>
                <c:pt idx="10" formatCode="yyyy&quot;E&quot;">
                  <c:v>46110</c:v>
                </c:pt>
                <c:pt idx="11" formatCode="yyyy&quot;E&quot;">
                  <c:v>46475</c:v>
                </c:pt>
                <c:pt idx="12" formatCode="yyyy&quot;E&quot;">
                  <c:v>46840</c:v>
                </c:pt>
                <c:pt idx="13" formatCode="yyyy&quot;E&quot;">
                  <c:v>47205</c:v>
                </c:pt>
                <c:pt idx="14" formatCode="yyyy&quot;E&quot;">
                  <c:v>47570</c:v>
                </c:pt>
              </c:numCache>
            </c:numRef>
          </c:cat>
          <c:val>
            <c:numRef>
              <c:f>Forecasting!$J$10:$J$24</c:f>
              <c:numCache>
                <c:formatCode>0.00%</c:formatCode>
                <c:ptCount val="15"/>
                <c:pt idx="1">
                  <c:v>7.0727580372250465E-2</c:v>
                </c:pt>
                <c:pt idx="2">
                  <c:v>0.1850505689001265</c:v>
                </c:pt>
                <c:pt idx="3">
                  <c:v>0.1841578877183625</c:v>
                </c:pt>
                <c:pt idx="4">
                  <c:v>0.11047297297297298</c:v>
                </c:pt>
                <c:pt idx="5">
                  <c:v>0.1789879322583916</c:v>
                </c:pt>
                <c:pt idx="6">
                  <c:v>0.10588336487183891</c:v>
                </c:pt>
                <c:pt idx="7">
                  <c:v>0.10033444816053505</c:v>
                </c:pt>
                <c:pt idx="8">
                  <c:v>3.6191418675337594E-2</c:v>
                </c:pt>
                <c:pt idx="9">
                  <c:v>1.255201582645471E-2</c:v>
                </c:pt>
                <c:pt idx="10">
                  <c:v>0.13517033843113491</c:v>
                </c:pt>
                <c:pt idx="11">
                  <c:v>6.6777212658355234E-2</c:v>
                </c:pt>
                <c:pt idx="12">
                  <c:v>6.259714949473838E-2</c:v>
                </c:pt>
                <c:pt idx="13">
                  <c:v>5.890957784377937E-2</c:v>
                </c:pt>
                <c:pt idx="14">
                  <c:v>5.5632302395200561E-2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41-492F-A349-2406C41C9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144415"/>
        <c:axId val="436209007"/>
      </c:lineChart>
      <c:dateAx>
        <c:axId val="436203727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197967"/>
        <c:crosses val="autoZero"/>
        <c:auto val="1"/>
        <c:lblOffset val="100"/>
        <c:baseTimeUnit val="years"/>
      </c:dateAx>
      <c:valAx>
        <c:axId val="43619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203727"/>
        <c:crosses val="autoZero"/>
        <c:crossBetween val="between"/>
      </c:valAx>
      <c:valAx>
        <c:axId val="43620900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44415"/>
        <c:crosses val="max"/>
        <c:crossBetween val="between"/>
      </c:valAx>
      <c:dateAx>
        <c:axId val="351144415"/>
        <c:scaling>
          <c:orientation val="minMax"/>
        </c:scaling>
        <c:delete val="1"/>
        <c:axPos val="b"/>
        <c:numFmt formatCode="yyyy&quot;A&quot;" sourceLinked="1"/>
        <c:majorTickMark val="out"/>
        <c:minorTickMark val="none"/>
        <c:tickLblPos val="nextTo"/>
        <c:crossAx val="436209007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Forecasting!$D$9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Forecasting!$C$10:$C$24</c:f>
              <c:numCache>
                <c:formatCode>yyyy"A"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43920</c:v>
                </c:pt>
                <c:pt idx="5">
                  <c:v>44285</c:v>
                </c:pt>
                <c:pt idx="6">
                  <c:v>44650</c:v>
                </c:pt>
                <c:pt idx="7">
                  <c:v>45015</c:v>
                </c:pt>
                <c:pt idx="8">
                  <c:v>45380</c:v>
                </c:pt>
                <c:pt idx="9">
                  <c:v>45745</c:v>
                </c:pt>
                <c:pt idx="10" formatCode="yyyy&quot;E&quot;">
                  <c:v>46110</c:v>
                </c:pt>
                <c:pt idx="11" formatCode="yyyy&quot;E&quot;">
                  <c:v>46475</c:v>
                </c:pt>
                <c:pt idx="12" formatCode="yyyy&quot;E&quot;">
                  <c:v>46840</c:v>
                </c:pt>
                <c:pt idx="13" formatCode="yyyy&quot;E&quot;">
                  <c:v>47205</c:v>
                </c:pt>
                <c:pt idx="14" formatCode="yyyy&quot;E&quot;">
                  <c:v>47570</c:v>
                </c:pt>
              </c:numCache>
            </c:numRef>
          </c:cat>
          <c:val>
            <c:numRef>
              <c:f>Forecasting!$D$10:$D$24</c:f>
              <c:numCache>
                <c:formatCode>#,##0.0</c:formatCode>
                <c:ptCount val="15"/>
                <c:pt idx="0">
                  <c:v>32186</c:v>
                </c:pt>
                <c:pt idx="1">
                  <c:v>33162</c:v>
                </c:pt>
                <c:pt idx="2">
                  <c:v>35545</c:v>
                </c:pt>
                <c:pt idx="3">
                  <c:v>39310</c:v>
                </c:pt>
                <c:pt idx="4">
                  <c:v>39783</c:v>
                </c:pt>
                <c:pt idx="5">
                  <c:v>47028</c:v>
                </c:pt>
                <c:pt idx="6">
                  <c:v>52446</c:v>
                </c:pt>
                <c:pt idx="7">
                  <c:v>60580</c:v>
                </c:pt>
                <c:pt idx="8">
                  <c:v>61896</c:v>
                </c:pt>
                <c:pt idx="9">
                  <c:v>63121</c:v>
                </c:pt>
                <c:pt idx="10">
                  <c:v>68218.399999999994</c:v>
                </c:pt>
                <c:pt idx="11">
                  <c:v>72166.163636363635</c:v>
                </c:pt>
                <c:pt idx="12">
                  <c:v>76113.927272727276</c:v>
                </c:pt>
                <c:pt idx="13">
                  <c:v>80061.690909090903</c:v>
                </c:pt>
                <c:pt idx="14">
                  <c:v>84009.454545454544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0-405A-B85C-B6366A0AA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2745471"/>
        <c:axId val="312757951"/>
      </c:barChart>
      <c:lineChart>
        <c:grouping val="standard"/>
        <c:varyColors val="0"/>
        <c:ser>
          <c:idx val="1"/>
          <c:order val="1"/>
          <c:tx>
            <c:strRef>
              <c:f>Forecasting!$E$9</c:f>
              <c:strCache>
                <c:ptCount val="1"/>
                <c:pt idx="0">
                  <c:v>Sales 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Forecasting!$C$10:$C$24</c:f>
              <c:numCache>
                <c:formatCode>yyyy"A"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43920</c:v>
                </c:pt>
                <c:pt idx="5">
                  <c:v>44285</c:v>
                </c:pt>
                <c:pt idx="6">
                  <c:v>44650</c:v>
                </c:pt>
                <c:pt idx="7">
                  <c:v>45015</c:v>
                </c:pt>
                <c:pt idx="8">
                  <c:v>45380</c:v>
                </c:pt>
                <c:pt idx="9">
                  <c:v>45745</c:v>
                </c:pt>
                <c:pt idx="10" formatCode="yyyy&quot;E&quot;">
                  <c:v>46110</c:v>
                </c:pt>
                <c:pt idx="11" formatCode="yyyy&quot;E&quot;">
                  <c:v>46475</c:v>
                </c:pt>
                <c:pt idx="12" formatCode="yyyy&quot;E&quot;">
                  <c:v>46840</c:v>
                </c:pt>
                <c:pt idx="13" formatCode="yyyy&quot;E&quot;">
                  <c:v>47205</c:v>
                </c:pt>
                <c:pt idx="14" formatCode="yyyy&quot;E&quot;">
                  <c:v>47570</c:v>
                </c:pt>
              </c:numCache>
            </c:numRef>
          </c:cat>
          <c:val>
            <c:numRef>
              <c:f>Forecasting!$E$10:$E$24</c:f>
              <c:numCache>
                <c:formatCode>0.00%</c:formatCode>
                <c:ptCount val="15"/>
                <c:pt idx="1">
                  <c:v>3.03237432424035E-2</c:v>
                </c:pt>
                <c:pt idx="2">
                  <c:v>7.1859357095470644E-2</c:v>
                </c:pt>
                <c:pt idx="3">
                  <c:v>0.1059220706147137</c:v>
                </c:pt>
                <c:pt idx="4">
                  <c:v>1.2032561689137689E-2</c:v>
                </c:pt>
                <c:pt idx="5">
                  <c:v>0.18211296282331646</c:v>
                </c:pt>
                <c:pt idx="6">
                  <c:v>0.11520796121459553</c:v>
                </c:pt>
                <c:pt idx="7">
                  <c:v>0.15509285741524614</c:v>
                </c:pt>
                <c:pt idx="8">
                  <c:v>2.1723341036645749E-2</c:v>
                </c:pt>
                <c:pt idx="9">
                  <c:v>1.9791262763344974E-2</c:v>
                </c:pt>
                <c:pt idx="10">
                  <c:v>8.0756008301515969E-2</c:v>
                </c:pt>
                <c:pt idx="11">
                  <c:v>5.7869484425955964E-2</c:v>
                </c:pt>
                <c:pt idx="12">
                  <c:v>5.4703803520108618E-2</c:v>
                </c:pt>
                <c:pt idx="13">
                  <c:v>5.1866508243862075E-2</c:v>
                </c:pt>
                <c:pt idx="14">
                  <c:v>4.930902147503069E-2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0-405A-B85C-B6366A0AA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758911"/>
        <c:axId val="312749791"/>
      </c:lineChart>
      <c:dateAx>
        <c:axId val="312745471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757951"/>
        <c:crosses val="autoZero"/>
        <c:auto val="1"/>
        <c:lblOffset val="100"/>
        <c:baseTimeUnit val="years"/>
      </c:dateAx>
      <c:valAx>
        <c:axId val="31275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745471"/>
        <c:crosses val="autoZero"/>
        <c:crossBetween val="between"/>
      </c:valAx>
      <c:valAx>
        <c:axId val="31274979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758911"/>
        <c:crosses val="max"/>
        <c:crossBetween val="between"/>
      </c:valAx>
      <c:dateAx>
        <c:axId val="312758911"/>
        <c:scaling>
          <c:orientation val="minMax"/>
        </c:scaling>
        <c:delete val="1"/>
        <c:axPos val="b"/>
        <c:numFmt formatCode="yyyy&quot;A&quot;" sourceLinked="1"/>
        <c:majorTickMark val="out"/>
        <c:minorTickMark val="none"/>
        <c:tickLblPos val="nextTo"/>
        <c:crossAx val="312749791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526144</xdr:colOff>
      <xdr:row>0</xdr:row>
      <xdr:rowOff>36287</xdr:rowOff>
    </xdr:from>
    <xdr:to>
      <xdr:col>9</xdr:col>
      <xdr:colOff>72573</xdr:colOff>
      <xdr:row>3</xdr:row>
      <xdr:rowOff>27881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FFAF64-D32B-1055-47B0-D8EA1951D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1287" y="36287"/>
          <a:ext cx="762000" cy="535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8</xdr:col>
      <xdr:colOff>121920</xdr:colOff>
      <xdr:row>2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25F0F5-8D7D-44A8-9398-86F04E18B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7840" y="0"/>
          <a:ext cx="762000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464820</xdr:colOff>
      <xdr:row>0</xdr:row>
      <xdr:rowOff>7620</xdr:rowOff>
    </xdr:from>
    <xdr:to>
      <xdr:col>9</xdr:col>
      <xdr:colOff>137160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95737-95AB-4077-9EF0-ADA90DD82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1840" y="7620"/>
          <a:ext cx="762000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39</xdr:row>
      <xdr:rowOff>133350</xdr:rowOff>
    </xdr:from>
    <xdr:to>
      <xdr:col>12</xdr:col>
      <xdr:colOff>175260</xdr:colOff>
      <xdr:row>54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372B6E-9317-47D6-0D0D-5B65C1398E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106680</xdr:colOff>
      <xdr:row>24</xdr:row>
      <xdr:rowOff>118110</xdr:rowOff>
    </xdr:from>
    <xdr:to>
      <xdr:col>15</xdr:col>
      <xdr:colOff>7620</xdr:colOff>
      <xdr:row>38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954F82-3E3C-A892-B559-37504FFF1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148590</xdr:rowOff>
    </xdr:from>
    <xdr:to>
      <xdr:col>7</xdr:col>
      <xdr:colOff>396240</xdr:colOff>
      <xdr:row>39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E860CF-7130-4552-22ED-8C674A36A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510540</xdr:colOff>
      <xdr:row>0</xdr:row>
      <xdr:rowOff>15240</xdr:rowOff>
    </xdr:from>
    <xdr:to>
      <xdr:col>13</xdr:col>
      <xdr:colOff>53340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9636D8-84C8-4EA2-B7E6-2239D4EBA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15240"/>
          <a:ext cx="762000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647700</xdr:colOff>
      <xdr:row>0</xdr:row>
      <xdr:rowOff>1</xdr:rowOff>
    </xdr:from>
    <xdr:to>
      <xdr:col>8</xdr:col>
      <xdr:colOff>30480</xdr:colOff>
      <xdr:row>3</xdr:row>
      <xdr:rowOff>68581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5695B-C9AE-4D8C-B870-7F7B4AD8D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1"/>
          <a:ext cx="75438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45720</xdr:colOff>
      <xdr:row>1</xdr:row>
      <xdr:rowOff>0</xdr:rowOff>
    </xdr:from>
    <xdr:to>
      <xdr:col>11</xdr:col>
      <xdr:colOff>998220</xdr:colOff>
      <xdr:row>4</xdr:row>
      <xdr:rowOff>46182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AEA54E-353C-4841-BCCF-E6DD2F76E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3900" y="0"/>
          <a:ext cx="952500" cy="594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541020</xdr:colOff>
      <xdr:row>0</xdr:row>
      <xdr:rowOff>0</xdr:rowOff>
    </xdr:from>
    <xdr:to>
      <xdr:col>8</xdr:col>
      <xdr:colOff>53340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83EC8-AC69-474D-835D-602F27B9D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8680" y="0"/>
          <a:ext cx="731520" cy="58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12102</xdr:colOff>
      <xdr:row>0</xdr:row>
      <xdr:rowOff>0</xdr:rowOff>
    </xdr:from>
    <xdr:to>
      <xdr:col>10</xdr:col>
      <xdr:colOff>824751</xdr:colOff>
      <xdr:row>3</xdr:row>
      <xdr:rowOff>26894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236A22-FD6A-4089-88E0-B984A12C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9608" y="0"/>
          <a:ext cx="812649" cy="564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1070226</xdr:colOff>
      <xdr:row>0</xdr:row>
      <xdr:rowOff>0</xdr:rowOff>
    </xdr:from>
    <xdr:to>
      <xdr:col>11</xdr:col>
      <xdr:colOff>85619</xdr:colOff>
      <xdr:row>3</xdr:row>
      <xdr:rowOff>59798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93281A-36A3-4C18-AFDE-F28905A20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6630" y="0"/>
          <a:ext cx="839056" cy="599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s/financial%20model.xlsx" TargetMode="External"/><Relationship Id="rId2" Type="http://schemas.openxmlformats.org/officeDocument/2006/relationships/externalLinkPath" Target="https://d.docs.live.net/73eb323372a675c0/Documents/financial%20model.xlsx" TargetMode="External"/><Relationship Id="rId1" Type="http://schemas.openxmlformats.org/officeDocument/2006/relationships/externalLinkPath" Target="/73EB323372A675C0/Documents/financial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CF"/>
      <sheetName val="WACC"/>
      <sheetName val="Forecasting"/>
      <sheetName val="Intrinsic growth"/>
      <sheetName val="Ratio Analysis"/>
      <sheetName val="Financials &gt;"/>
      <sheetName val="Historicals"/>
      <sheetName val="Common Size"/>
      <sheetName val="Data &gt;"/>
      <sheetName val="Data Sheet"/>
      <sheetName val="RAW FS"/>
      <sheetName val="Cash Flow Data"/>
      <sheetName val="Beta Calculation"/>
      <sheetName val="Peer Beta"/>
      <sheetName val="Rm"/>
    </sheetNames>
    <sheetDataSet>
      <sheetData sheetId="0"/>
      <sheetData sheetId="1"/>
      <sheetData sheetId="2"/>
      <sheetData sheetId="3">
        <row r="2">
          <cell r="I2">
            <v>45717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screener.in/excel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35D6-0B7B-457E-8DDF-CCEEF60F0897}">
  <sheetPr>
    <pageSetUpPr fitToPage="1"/>
  </sheetPr>
  <dimension ref="B1:V48"/>
  <sheetViews>
    <sheetView showGridLines="0" tabSelected="1" zoomScale="84" zoomScaleNormal="400" workbookViewId="0">
      <selection activeCell="M13" sqref="M13"/>
    </sheetView>
  </sheetViews>
  <sheetFormatPr defaultRowHeight="14.4" x14ac:dyDescent="0.3"/>
  <cols>
    <col min="1" max="1" width="1.88671875" customWidth="1"/>
    <col min="2" max="2" width="26.6640625" bestFit="1" customWidth="1"/>
    <col min="3" max="3" width="12" bestFit="1" customWidth="1"/>
    <col min="4" max="4" width="8.88671875" customWidth="1"/>
    <col min="5" max="5" width="9" bestFit="1" customWidth="1"/>
    <col min="8" max="8" width="8.88671875" customWidth="1"/>
  </cols>
  <sheetData>
    <row r="1" spans="2:22" ht="14.4" customHeight="1" x14ac:dyDescent="0.3">
      <c r="B1" s="180" t="s">
        <v>399</v>
      </c>
      <c r="C1" s="180"/>
      <c r="D1" s="180"/>
      <c r="E1" s="180"/>
      <c r="F1" s="180"/>
      <c r="G1" s="180"/>
      <c r="H1" s="180"/>
      <c r="I1" s="176"/>
      <c r="J1" s="175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7"/>
      <c r="V1" s="177"/>
    </row>
    <row r="2" spans="2:22" ht="14.4" customHeight="1" x14ac:dyDescent="0.3">
      <c r="B2" s="180"/>
      <c r="C2" s="180"/>
      <c r="D2" s="180"/>
      <c r="E2" s="180"/>
      <c r="F2" s="180"/>
      <c r="G2" s="180"/>
      <c r="H2" s="180"/>
      <c r="I2" s="176"/>
      <c r="J2" s="175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7"/>
      <c r="V2" s="177"/>
    </row>
    <row r="3" spans="2:22" ht="14.4" customHeight="1" x14ac:dyDescent="0.3">
      <c r="B3" s="180"/>
      <c r="C3" s="180"/>
      <c r="D3" s="180"/>
      <c r="E3" s="180"/>
      <c r="F3" s="180"/>
      <c r="G3" s="180"/>
      <c r="H3" s="180"/>
      <c r="I3" s="176"/>
      <c r="J3" s="175"/>
      <c r="K3" s="176"/>
      <c r="L3" s="176"/>
      <c r="M3" s="176"/>
      <c r="N3" s="176"/>
      <c r="O3" s="178"/>
      <c r="P3" s="176"/>
      <c r="Q3" s="176"/>
      <c r="R3" s="176"/>
      <c r="S3" s="176"/>
      <c r="T3" s="176"/>
      <c r="U3" s="177"/>
      <c r="V3" s="177"/>
    </row>
    <row r="4" spans="2:22" ht="14.4" customHeight="1" x14ac:dyDescent="0.3"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</row>
    <row r="7" spans="2:22" x14ac:dyDescent="0.3">
      <c r="B7" s="179" t="s">
        <v>332</v>
      </c>
      <c r="C7" s="179"/>
      <c r="D7" s="179"/>
      <c r="E7" s="179"/>
    </row>
    <row r="8" spans="2:22" x14ac:dyDescent="0.3">
      <c r="B8" s="179"/>
      <c r="C8" s="179"/>
      <c r="D8" s="179"/>
      <c r="E8" s="179"/>
    </row>
    <row r="10" spans="2:22" x14ac:dyDescent="0.3">
      <c r="B10" s="10" t="s">
        <v>293</v>
      </c>
      <c r="C10" s="10"/>
      <c r="D10" s="129">
        <f>'[1]Intrinsic growth'!$I$2</f>
        <v>45717</v>
      </c>
      <c r="E10" s="130">
        <f>D10+365</f>
        <v>46082</v>
      </c>
      <c r="F10" s="130">
        <f t="shared" ref="F10:I10" si="0">E10+365</f>
        <v>46447</v>
      </c>
      <c r="G10" s="130">
        <f>F10+366</f>
        <v>46813</v>
      </c>
      <c r="H10" s="130">
        <f t="shared" si="0"/>
        <v>47178</v>
      </c>
      <c r="I10" s="130">
        <f t="shared" si="0"/>
        <v>47543</v>
      </c>
    </row>
    <row r="12" spans="2:22" x14ac:dyDescent="0.3">
      <c r="B12" s="27" t="s">
        <v>272</v>
      </c>
      <c r="C12" s="27"/>
      <c r="D12" s="131">
        <f>'Intrinsic growth'!I40</f>
        <v>13488</v>
      </c>
      <c r="E12" s="131">
        <f>D12*(1+$C$22)</f>
        <v>14150.260799999998</v>
      </c>
      <c r="F12" s="131">
        <f t="shared" ref="F12:I12" si="1">E12*(1+$C$22)</f>
        <v>14845.038605279997</v>
      </c>
      <c r="G12" s="131">
        <f t="shared" si="1"/>
        <v>15573.930000799244</v>
      </c>
      <c r="H12" s="131">
        <f t="shared" si="1"/>
        <v>16338.609963838486</v>
      </c>
      <c r="I12" s="131">
        <f t="shared" si="1"/>
        <v>17140.835713062956</v>
      </c>
    </row>
    <row r="13" spans="2:22" x14ac:dyDescent="0.3">
      <c r="B13" s="27" t="s">
        <v>294</v>
      </c>
      <c r="C13" s="27"/>
      <c r="D13" s="132">
        <v>0.25</v>
      </c>
      <c r="E13" s="133">
        <f>D13</f>
        <v>0.25</v>
      </c>
      <c r="F13" s="133">
        <f t="shared" ref="F13:I13" si="2">E13</f>
        <v>0.25</v>
      </c>
      <c r="G13" s="133">
        <f t="shared" si="2"/>
        <v>0.25</v>
      </c>
      <c r="H13" s="133">
        <f t="shared" si="2"/>
        <v>0.25</v>
      </c>
      <c r="I13" s="133">
        <f t="shared" si="2"/>
        <v>0.25</v>
      </c>
    </row>
    <row r="14" spans="2:22" x14ac:dyDescent="0.3">
      <c r="B14" s="27" t="s">
        <v>295</v>
      </c>
      <c r="C14" s="27"/>
      <c r="D14" s="131">
        <f>D12*(1-D13)</f>
        <v>10116</v>
      </c>
      <c r="E14" s="131">
        <f t="shared" ref="E14:I14" si="3">E12*(1-E13)</f>
        <v>10612.695599999999</v>
      </c>
      <c r="F14" s="131">
        <f t="shared" si="3"/>
        <v>11133.778953959998</v>
      </c>
      <c r="G14" s="131">
        <f t="shared" si="3"/>
        <v>11680.447500599434</v>
      </c>
      <c r="H14" s="131">
        <f t="shared" si="3"/>
        <v>12253.957472878865</v>
      </c>
      <c r="I14" s="131">
        <f t="shared" si="3"/>
        <v>12855.626784797216</v>
      </c>
    </row>
    <row r="15" spans="2:22" x14ac:dyDescent="0.3">
      <c r="B15" s="27" t="s">
        <v>296</v>
      </c>
      <c r="C15" s="27"/>
      <c r="D15" s="134">
        <f>'Intrinsic growth'!I59</f>
        <v>0.11071199568026466</v>
      </c>
      <c r="E15" s="134">
        <f>($I$15-$D$15)/5+D15</f>
        <v>0.19687010622230502</v>
      </c>
      <c r="F15" s="134">
        <f t="shared" ref="F15:H15" si="4">($I$15-$D$15)/5+E15</f>
        <v>0.28302821676434542</v>
      </c>
      <c r="G15" s="134">
        <f t="shared" si="4"/>
        <v>0.36918632730638579</v>
      </c>
      <c r="H15" s="134">
        <f t="shared" si="4"/>
        <v>0.45534443784842615</v>
      </c>
      <c r="I15" s="135">
        <v>0.54150254839046652</v>
      </c>
    </row>
    <row r="16" spans="2:22" x14ac:dyDescent="0.3">
      <c r="B16" s="27" t="s">
        <v>297</v>
      </c>
      <c r="C16" s="27"/>
      <c r="D16" s="131">
        <f>D14*(1-D15)</f>
        <v>8996.037451698443</v>
      </c>
      <c r="E16" s="131">
        <f t="shared" ref="E16:I16" si="5">E14*(1-E15)</f>
        <v>8523.3730899230104</v>
      </c>
      <c r="F16" s="131">
        <f t="shared" si="5"/>
        <v>7982.6053507723009</v>
      </c>
      <c r="G16" s="131">
        <f t="shared" si="5"/>
        <v>7368.1859865580755</v>
      </c>
      <c r="H16" s="131">
        <f t="shared" si="5"/>
        <v>6674.1860959723172</v>
      </c>
      <c r="I16" s="131">
        <f t="shared" si="5"/>
        <v>5894.2721196727844</v>
      </c>
    </row>
    <row r="17" spans="2:9" x14ac:dyDescent="0.3">
      <c r="B17" s="27" t="s">
        <v>298</v>
      </c>
      <c r="C17" s="27"/>
      <c r="D17" s="136"/>
      <c r="E17" s="137">
        <v>0.5</v>
      </c>
      <c r="F17" s="27">
        <f>E17+1</f>
        <v>1.5</v>
      </c>
      <c r="G17" s="27">
        <f t="shared" ref="G17:I17" si="6">F17+1</f>
        <v>2.5</v>
      </c>
      <c r="H17" s="27">
        <f t="shared" si="6"/>
        <v>3.5</v>
      </c>
      <c r="I17" s="27">
        <f t="shared" si="6"/>
        <v>4.5</v>
      </c>
    </row>
    <row r="18" spans="2:9" x14ac:dyDescent="0.3">
      <c r="B18" s="27" t="s">
        <v>299</v>
      </c>
      <c r="C18" s="27"/>
      <c r="D18" s="136"/>
      <c r="E18" s="27">
        <f>1/((1+$C$24)^E17)</f>
        <v>0.94240960654820671</v>
      </c>
      <c r="F18" s="27">
        <f t="shared" ref="F18:G18" si="7">1/((1+$C$24)^F17)</f>
        <v>0.83698777252313505</v>
      </c>
      <c r="G18" s="27">
        <f t="shared" si="7"/>
        <v>0.74335886061174672</v>
      </c>
      <c r="H18" s="27">
        <f>1/((1+$C$24)^H17)</f>
        <v>0.66020366580053025</v>
      </c>
      <c r="I18" s="27">
        <f>1/((1+$C$24)^I17)</f>
        <v>0.58635055480170151</v>
      </c>
    </row>
    <row r="19" spans="2:9" ht="4.8" customHeight="1" x14ac:dyDescent="0.3">
      <c r="D19" s="48"/>
    </row>
    <row r="20" spans="2:9" ht="15" thickBot="1" x14ac:dyDescent="0.35">
      <c r="B20" s="120" t="s">
        <v>300</v>
      </c>
      <c r="C20" s="120"/>
      <c r="D20" s="138"/>
      <c r="E20" s="120">
        <f>E16*E18</f>
        <v>8032.5086801379175</v>
      </c>
      <c r="F20" s="120">
        <f t="shared" ref="F20:I20" si="8">F16*F18</f>
        <v>6681.3430714741671</v>
      </c>
      <c r="G20" s="120">
        <f t="shared" si="8"/>
        <v>5477.2063397432503</v>
      </c>
      <c r="H20" s="120">
        <f t="shared" si="8"/>
        <v>4406.3221267958534</v>
      </c>
      <c r="I20" s="120">
        <f t="shared" si="8"/>
        <v>3456.1097275223383</v>
      </c>
    </row>
    <row r="21" spans="2:9" ht="15" thickTop="1" x14ac:dyDescent="0.3"/>
    <row r="22" spans="2:9" x14ac:dyDescent="0.3">
      <c r="B22" s="124" t="s">
        <v>301</v>
      </c>
      <c r="C22" s="125">
        <v>4.9099999999999998E-2</v>
      </c>
    </row>
    <row r="23" spans="2:9" x14ac:dyDescent="0.3">
      <c r="B23" s="124" t="s">
        <v>302</v>
      </c>
      <c r="C23" s="125">
        <v>0.05</v>
      </c>
    </row>
    <row r="24" spans="2:9" x14ac:dyDescent="0.3">
      <c r="B24" s="124" t="s">
        <v>229</v>
      </c>
      <c r="C24" s="125">
        <f>WACC!I42</f>
        <v>0.12595385199866546</v>
      </c>
    </row>
    <row r="26" spans="2:9" x14ac:dyDescent="0.3">
      <c r="B26" s="10" t="s">
        <v>303</v>
      </c>
      <c r="C26" s="10"/>
    </row>
    <row r="28" spans="2:9" x14ac:dyDescent="0.3">
      <c r="B28" t="s">
        <v>304</v>
      </c>
      <c r="C28" s="142">
        <f>I16*(1+C23)</f>
        <v>6188.9857256564237</v>
      </c>
    </row>
    <row r="29" spans="2:9" x14ac:dyDescent="0.3">
      <c r="B29" t="s">
        <v>229</v>
      </c>
      <c r="C29" s="4">
        <f>C24</f>
        <v>0.12595385199866546</v>
      </c>
    </row>
    <row r="30" spans="2:9" x14ac:dyDescent="0.3">
      <c r="B30" t="s">
        <v>305</v>
      </c>
      <c r="C30" s="4">
        <f>C23</f>
        <v>0.05</v>
      </c>
    </row>
    <row r="31" spans="2:9" ht="15" thickBot="1" x14ac:dyDescent="0.35">
      <c r="B31" s="120" t="s">
        <v>306</v>
      </c>
      <c r="C31" s="144">
        <f>C28/(C29-C30)</f>
        <v>81483.500346567904</v>
      </c>
    </row>
    <row r="32" spans="2:9" ht="15" thickTop="1" x14ac:dyDescent="0.3"/>
    <row r="33" spans="2:3" x14ac:dyDescent="0.3">
      <c r="B33" s="10" t="s">
        <v>307</v>
      </c>
      <c r="C33" s="10"/>
    </row>
    <row r="35" spans="2:3" x14ac:dyDescent="0.3">
      <c r="B35" t="s">
        <v>308</v>
      </c>
      <c r="C35" s="142">
        <f>SUM(E20:I20)</f>
        <v>28053.489945673529</v>
      </c>
    </row>
    <row r="36" spans="2:3" x14ac:dyDescent="0.3">
      <c r="B36" t="s">
        <v>306</v>
      </c>
      <c r="C36" s="142">
        <f>C31</f>
        <v>81483.500346567904</v>
      </c>
    </row>
    <row r="37" spans="2:3" x14ac:dyDescent="0.3">
      <c r="B37" t="s">
        <v>309</v>
      </c>
      <c r="C37" s="142">
        <f>C36*I18</f>
        <v>47777.895635394729</v>
      </c>
    </row>
    <row r="38" spans="2:3" x14ac:dyDescent="0.3">
      <c r="B38" s="2" t="s">
        <v>310</v>
      </c>
      <c r="C38" s="143">
        <f>C37+C35</f>
        <v>75831.385581068258</v>
      </c>
    </row>
    <row r="39" spans="2:3" x14ac:dyDescent="0.3">
      <c r="C39" s="17"/>
    </row>
    <row r="40" spans="2:3" x14ac:dyDescent="0.3">
      <c r="B40" t="s">
        <v>311</v>
      </c>
      <c r="C40" s="142">
        <f>'RAW FS'!N41</f>
        <v>7554</v>
      </c>
    </row>
    <row r="41" spans="2:3" x14ac:dyDescent="0.3">
      <c r="B41" t="s">
        <v>312</v>
      </c>
      <c r="C41" s="142">
        <f>SUM('RAW FS'!N9:N10)</f>
        <v>1</v>
      </c>
    </row>
    <row r="42" spans="2:3" x14ac:dyDescent="0.3">
      <c r="C42" s="17"/>
    </row>
    <row r="43" spans="2:3" x14ac:dyDescent="0.3">
      <c r="B43" t="s">
        <v>313</v>
      </c>
      <c r="C43" s="142">
        <f>C38+C40-C41</f>
        <v>83384.385581068258</v>
      </c>
    </row>
    <row r="44" spans="2:3" x14ac:dyDescent="0.3">
      <c r="B44" t="s">
        <v>327</v>
      </c>
      <c r="C44" s="142">
        <f>'Data Sheet'!B6</f>
        <v>234.95912503777404</v>
      </c>
    </row>
    <row r="45" spans="2:3" ht="15" thickBot="1" x14ac:dyDescent="0.35">
      <c r="B45" s="148" t="s">
        <v>326</v>
      </c>
      <c r="C45" s="149">
        <f>C43/C44</f>
        <v>354.88890064458093</v>
      </c>
    </row>
    <row r="46" spans="2:3" ht="15" thickTop="1" x14ac:dyDescent="0.3"/>
    <row r="47" spans="2:3" x14ac:dyDescent="0.3">
      <c r="B47" t="s">
        <v>333</v>
      </c>
      <c r="C47" s="151">
        <v>2166</v>
      </c>
    </row>
    <row r="48" spans="2:3" x14ac:dyDescent="0.3">
      <c r="B48" t="s">
        <v>334</v>
      </c>
      <c r="C48" s="150">
        <f>C47/C45</f>
        <v>6.1033185204324996</v>
      </c>
    </row>
  </sheetData>
  <mergeCells count="2">
    <mergeCell ref="B7:E8"/>
    <mergeCell ref="B1:H3"/>
  </mergeCells>
  <pageMargins left="0.25" right="0.25" top="0.75" bottom="0.75" header="0.3" footer="0.3"/>
  <pageSetup paperSize="6" scale="63" orientation="portrait" r:id="rId1"/>
  <ignoredErrors>
    <ignoredError sqref="C41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35C0-2750-43E1-A877-C016D5CAB910}">
  <sheetPr>
    <pageSetUpPr fitToPage="1"/>
  </sheetPr>
  <dimension ref="A1:R38"/>
  <sheetViews>
    <sheetView showGridLines="0" zoomScaleNormal="100" workbookViewId="0">
      <selection activeCell="B1" sqref="B1:P39"/>
    </sheetView>
  </sheetViews>
  <sheetFormatPr defaultRowHeight="14.4" x14ac:dyDescent="0.3"/>
  <cols>
    <col min="1" max="1" width="1.88671875" style="153" customWidth="1"/>
    <col min="2" max="2" width="28.77734375" bestFit="1" customWidth="1"/>
    <col min="3" max="3" width="12.88671875" bestFit="1" customWidth="1"/>
    <col min="4" max="4" width="8.88671875" style="45"/>
    <col min="5" max="5" width="11.109375" style="45" customWidth="1"/>
    <col min="6" max="7" width="8.88671875" style="45"/>
    <col min="8" max="8" width="9.33203125" style="45" customWidth="1"/>
    <col min="9" max="9" width="1.88671875" style="45" customWidth="1"/>
    <col min="10" max="12" width="8.88671875" style="45"/>
    <col min="13" max="13" width="1.88671875" style="45" customWidth="1"/>
    <col min="14" max="14" width="12.109375" style="45" bestFit="1" customWidth="1"/>
    <col min="15" max="16" width="11.33203125" style="45" bestFit="1" customWidth="1"/>
    <col min="17" max="16384" width="8.88671875" style="45"/>
  </cols>
  <sheetData>
    <row r="1" spans="2:18" ht="14.4" customHeight="1" x14ac:dyDescent="0.3">
      <c r="B1" s="180" t="s">
        <v>399</v>
      </c>
      <c r="C1" s="180"/>
      <c r="D1" s="180"/>
      <c r="E1" s="180"/>
      <c r="F1" s="180"/>
      <c r="G1" s="180"/>
      <c r="H1" s="176"/>
      <c r="I1" s="176"/>
      <c r="J1" s="175"/>
    </row>
    <row r="2" spans="2:18" ht="14.4" customHeight="1" x14ac:dyDescent="0.3">
      <c r="B2" s="180"/>
      <c r="C2" s="180"/>
      <c r="D2" s="180"/>
      <c r="E2" s="180"/>
      <c r="F2" s="180"/>
      <c r="G2" s="180"/>
      <c r="H2" s="176"/>
      <c r="I2" s="176"/>
      <c r="J2" s="175"/>
    </row>
    <row r="3" spans="2:18" ht="14.4" customHeight="1" x14ac:dyDescent="0.3">
      <c r="B3" s="180"/>
      <c r="C3" s="180"/>
      <c r="D3" s="180"/>
      <c r="E3" s="180"/>
      <c r="F3" s="180"/>
      <c r="G3" s="180"/>
      <c r="H3" s="176"/>
      <c r="I3" s="176"/>
      <c r="J3" s="175"/>
    </row>
    <row r="5" spans="2:18" x14ac:dyDescent="0.3">
      <c r="B5" s="14" t="s">
        <v>397</v>
      </c>
    </row>
    <row r="6" spans="2:18" ht="18" x14ac:dyDescent="0.35">
      <c r="B6" s="169" t="s">
        <v>338</v>
      </c>
      <c r="C6" s="154"/>
      <c r="D6" s="155"/>
      <c r="E6" s="155"/>
      <c r="F6" s="155"/>
      <c r="G6" s="155"/>
      <c r="H6" s="155"/>
      <c r="I6" s="155"/>
      <c r="J6" s="67"/>
      <c r="K6" s="67"/>
      <c r="L6" s="67"/>
      <c r="M6" s="155"/>
      <c r="N6" s="155"/>
      <c r="O6" s="155"/>
      <c r="P6" s="155"/>
      <c r="Q6" s="155"/>
      <c r="R6" s="155"/>
    </row>
    <row r="7" spans="2:18" ht="3" customHeight="1" x14ac:dyDescent="0.3"/>
    <row r="8" spans="2:18" x14ac:dyDescent="0.3">
      <c r="B8" s="10"/>
      <c r="C8" s="10"/>
      <c r="D8" s="181" t="s">
        <v>345</v>
      </c>
      <c r="E8" s="181"/>
      <c r="F8" s="181"/>
      <c r="G8" s="181"/>
      <c r="H8" s="181"/>
      <c r="I8" s="47"/>
      <c r="J8" s="181" t="s">
        <v>346</v>
      </c>
      <c r="K8" s="181"/>
      <c r="L8" s="181"/>
      <c r="M8" s="10"/>
      <c r="N8" s="181" t="s">
        <v>349</v>
      </c>
      <c r="O8" s="181"/>
      <c r="P8" s="181"/>
      <c r="Q8"/>
      <c r="R8"/>
    </row>
    <row r="9" spans="2:18" ht="43.2" x14ac:dyDescent="0.3">
      <c r="B9" s="10" t="s">
        <v>339</v>
      </c>
      <c r="C9" s="10" t="s">
        <v>340</v>
      </c>
      <c r="D9" s="156" t="s">
        <v>341</v>
      </c>
      <c r="E9" s="156" t="s">
        <v>398</v>
      </c>
      <c r="F9" s="156" t="s">
        <v>342</v>
      </c>
      <c r="G9" s="47" t="s">
        <v>343</v>
      </c>
      <c r="H9" s="156" t="s">
        <v>344</v>
      </c>
      <c r="I9" s="47"/>
      <c r="J9" s="47" t="s">
        <v>347</v>
      </c>
      <c r="K9" s="47" t="s">
        <v>65</v>
      </c>
      <c r="L9" s="156" t="s">
        <v>348</v>
      </c>
      <c r="M9" s="47"/>
      <c r="N9" s="47" t="s">
        <v>351</v>
      </c>
      <c r="O9" s="47" t="s">
        <v>350</v>
      </c>
      <c r="P9" s="47" t="s">
        <v>352</v>
      </c>
      <c r="Q9"/>
      <c r="R9"/>
    </row>
    <row r="10" spans="2:18" x14ac:dyDescent="0.3">
      <c r="B10" s="158" t="s">
        <v>315</v>
      </c>
      <c r="C10" s="158" t="s">
        <v>379</v>
      </c>
      <c r="D10" s="159">
        <f>'Market Data'!D3</f>
        <v>2155.3000000000002</v>
      </c>
      <c r="E10" s="159">
        <f>'Market Data'!E3</f>
        <v>234.96</v>
      </c>
      <c r="F10" s="159">
        <f>'Market Data'!F3</f>
        <v>506409.28800000006</v>
      </c>
      <c r="G10" s="159">
        <f>'Market Data'!I3</f>
        <v>-5779</v>
      </c>
      <c r="H10" s="159">
        <f>'Market Data'!J3</f>
        <v>500630.28800000006</v>
      </c>
      <c r="I10" s="160"/>
      <c r="J10" s="159">
        <f>'Market Data'!K3</f>
        <v>63121</v>
      </c>
      <c r="K10" s="159">
        <f>'Market Data'!M3</f>
        <v>14568.326799999999</v>
      </c>
      <c r="L10" s="159">
        <f>'Market Data'!N3</f>
        <v>14540</v>
      </c>
      <c r="M10" s="160"/>
      <c r="N10" s="173">
        <f t="shared" ref="N10:N19" si="0">$H10/J10</f>
        <v>7.9312794157253537</v>
      </c>
      <c r="O10" s="173">
        <f t="shared" ref="O10:O19" si="1">$H10/K10</f>
        <v>34.364295562068257</v>
      </c>
      <c r="P10" s="161">
        <f t="shared" ref="P10:P19" si="2">F10/L10</f>
        <v>34.828699312242094</v>
      </c>
    </row>
    <row r="11" spans="2:18" x14ac:dyDescent="0.3">
      <c r="B11" s="158" t="s">
        <v>316</v>
      </c>
      <c r="C11" s="158" t="s">
        <v>316</v>
      </c>
      <c r="D11" s="159">
        <f>'Market Data'!D4</f>
        <v>304.25</v>
      </c>
      <c r="E11" s="159">
        <f>'Market Data'!E4</f>
        <v>1252.95</v>
      </c>
      <c r="F11" s="159">
        <f>'Market Data'!F4</f>
        <v>381210.03750000003</v>
      </c>
      <c r="G11" s="159">
        <f>'Market Data'!I4</f>
        <v>-3649.3900000000003</v>
      </c>
      <c r="H11" s="159">
        <f>'Market Data'!J4</f>
        <v>377560.64750000002</v>
      </c>
      <c r="I11" s="160"/>
      <c r="J11" s="159">
        <f>'Market Data'!K4</f>
        <v>75323.34</v>
      </c>
      <c r="K11" s="159">
        <f>'Market Data'!M4</f>
        <v>25399.030247999999</v>
      </c>
      <c r="L11" s="159">
        <f>'Market Data'!N4</f>
        <v>35356.29</v>
      </c>
      <c r="M11" s="160"/>
      <c r="N11" s="173">
        <f t="shared" si="0"/>
        <v>5.0125319389713736</v>
      </c>
      <c r="O11" s="173">
        <f t="shared" si="1"/>
        <v>14.865159961362318</v>
      </c>
      <c r="P11" s="161">
        <f t="shared" si="2"/>
        <v>10.781958104201545</v>
      </c>
    </row>
    <row r="12" spans="2:18" x14ac:dyDescent="0.3">
      <c r="B12" s="158" t="s">
        <v>322</v>
      </c>
      <c r="C12" s="158" t="s">
        <v>380</v>
      </c>
      <c r="D12" s="159">
        <f>'Market Data'!D5</f>
        <v>1249.3</v>
      </c>
      <c r="E12" s="159">
        <f>'Market Data'!E5</f>
        <v>192.83</v>
      </c>
      <c r="F12" s="159">
        <f>'Market Data'!F5</f>
        <v>240902.519</v>
      </c>
      <c r="G12" s="159">
        <f>'Market Data'!I5</f>
        <v>381.20000000000005</v>
      </c>
      <c r="H12" s="159">
        <f>'Market Data'!J5</f>
        <v>241283.71900000001</v>
      </c>
      <c r="I12" s="160"/>
      <c r="J12" s="159">
        <f>'Market Data'!K5</f>
        <v>20201.560000000001</v>
      </c>
      <c r="K12" s="159">
        <f>'Market Data'!M5</f>
        <v>4543.3308440000001</v>
      </c>
      <c r="L12" s="159">
        <f>'Market Data'!N5</f>
        <v>3315.9</v>
      </c>
      <c r="M12" s="160"/>
      <c r="N12" s="173">
        <f t="shared" si="0"/>
        <v>11.943816170632367</v>
      </c>
      <c r="O12" s="173">
        <f t="shared" si="1"/>
        <v>53.107230638649924</v>
      </c>
      <c r="P12" s="161">
        <f t="shared" si="2"/>
        <v>72.65071896016164</v>
      </c>
    </row>
    <row r="13" spans="2:18" x14ac:dyDescent="0.3">
      <c r="B13" s="158" t="s">
        <v>323</v>
      </c>
      <c r="C13" s="158" t="s">
        <v>381</v>
      </c>
      <c r="D13" s="159">
        <f>'Market Data'!D6</f>
        <v>431.6</v>
      </c>
      <c r="E13" s="159">
        <f>'Market Data'!E6</f>
        <v>338.21</v>
      </c>
      <c r="F13" s="159">
        <f>'Market Data'!F6</f>
        <v>145971.43599999999</v>
      </c>
      <c r="G13" s="159">
        <f>'Market Data'!I6</f>
        <v>509.68999999999983</v>
      </c>
      <c r="H13" s="159">
        <f>'Market Data'!J6</f>
        <v>146481.12599999999</v>
      </c>
      <c r="I13" s="160"/>
      <c r="J13" s="159">
        <f>'Market Data'!K6</f>
        <v>21685.37</v>
      </c>
      <c r="K13" s="159">
        <f>'Market Data'!M6</f>
        <v>5070.0395059999992</v>
      </c>
      <c r="L13" s="159">
        <f>'Market Data'!N6</f>
        <v>3062.04</v>
      </c>
      <c r="M13" s="160"/>
      <c r="N13" s="173">
        <f t="shared" si="0"/>
        <v>6.7548363712493718</v>
      </c>
      <c r="O13" s="173">
        <f t="shared" si="1"/>
        <v>28.891515702520842</v>
      </c>
      <c r="P13" s="161">
        <f t="shared" si="2"/>
        <v>47.671302791602983</v>
      </c>
    </row>
    <row r="14" spans="2:18" x14ac:dyDescent="0.3">
      <c r="B14" s="158" t="s">
        <v>324</v>
      </c>
      <c r="C14" s="158" t="s">
        <v>382</v>
      </c>
      <c r="D14" s="159">
        <f>'Market Data'!D7</f>
        <v>5557.5</v>
      </c>
      <c r="E14" s="159">
        <f>'Market Data'!E7</f>
        <v>24.09</v>
      </c>
      <c r="F14" s="159">
        <f>'Market Data'!F7</f>
        <v>133880.17499999999</v>
      </c>
      <c r="G14" s="159">
        <f>'Market Data'!I7</f>
        <v>1883.8200000000002</v>
      </c>
      <c r="H14" s="159">
        <f>'Market Data'!J7</f>
        <v>135763.99499999997</v>
      </c>
      <c r="I14" s="160"/>
      <c r="J14" s="159">
        <f>'Market Data'!K7</f>
        <v>17942.669999999998</v>
      </c>
      <c r="K14" s="159">
        <f>'Market Data'!M7</f>
        <v>3310.4226149999995</v>
      </c>
      <c r="L14" s="159">
        <f>'Market Data'!N7</f>
        <v>2416.46</v>
      </c>
      <c r="M14" s="160"/>
      <c r="N14" s="173">
        <f t="shared" si="0"/>
        <v>7.566543608058331</v>
      </c>
      <c r="O14" s="173">
        <f t="shared" si="1"/>
        <v>41.011076466440819</v>
      </c>
      <c r="P14" s="161">
        <f t="shared" si="2"/>
        <v>55.40343105203479</v>
      </c>
    </row>
    <row r="15" spans="2:18" x14ac:dyDescent="0.3">
      <c r="B15" s="158" t="s">
        <v>325</v>
      </c>
      <c r="C15" s="158" t="s">
        <v>383</v>
      </c>
      <c r="D15" s="159">
        <f>'Market Data'!D8</f>
        <v>1078.0999999999999</v>
      </c>
      <c r="E15" s="159">
        <f>'Market Data'!E8</f>
        <v>102.32</v>
      </c>
      <c r="F15" s="159">
        <f>'Market Data'!F8</f>
        <v>110311.19199999998</v>
      </c>
      <c r="G15" s="159">
        <f>'Market Data'!I8</f>
        <v>3630.43</v>
      </c>
      <c r="H15" s="159">
        <f>'Market Data'!J8</f>
        <v>113941.62199999999</v>
      </c>
      <c r="I15" s="160"/>
      <c r="J15" s="159">
        <f>'Market Data'!K8</f>
        <v>14364.29</v>
      </c>
      <c r="K15" s="159">
        <f>'Market Data'!M8</f>
        <v>2901.5865800000001</v>
      </c>
      <c r="L15" s="159">
        <f>'Market Data'!N8</f>
        <v>1821.6</v>
      </c>
      <c r="M15" s="160"/>
      <c r="N15" s="173">
        <f t="shared" si="0"/>
        <v>7.9322836005121022</v>
      </c>
      <c r="O15" s="173">
        <f t="shared" si="1"/>
        <v>39.268730695604468</v>
      </c>
      <c r="P15" s="161">
        <f t="shared" si="2"/>
        <v>60.557307861220899</v>
      </c>
    </row>
    <row r="16" spans="2:18" x14ac:dyDescent="0.3">
      <c r="B16" s="158" t="s">
        <v>353</v>
      </c>
      <c r="C16" s="158" t="s">
        <v>384</v>
      </c>
      <c r="D16" s="159">
        <f>'Market Data'!D9</f>
        <v>1093.7</v>
      </c>
      <c r="E16" s="159">
        <f>'Market Data'!E9</f>
        <v>98.96</v>
      </c>
      <c r="F16" s="159">
        <f>'Market Data'!F9</f>
        <v>108232.552</v>
      </c>
      <c r="G16" s="159">
        <f>'Market Data'!I9</f>
        <v>-241.75</v>
      </c>
      <c r="H16" s="159">
        <f>'Market Data'!J9</f>
        <v>107990.802</v>
      </c>
      <c r="I16" s="160"/>
      <c r="J16" s="159">
        <f>'Market Data'!K9</f>
        <v>17618.3</v>
      </c>
      <c r="K16" s="159">
        <f>'Market Data'!M9</f>
        <v>2371.4231799999998</v>
      </c>
      <c r="L16" s="159">
        <f>'Market Data'!N9</f>
        <v>1471.5</v>
      </c>
      <c r="M16" s="160"/>
      <c r="N16" s="173">
        <f t="shared" si="0"/>
        <v>6.1294677693080493</v>
      </c>
      <c r="O16" s="173">
        <f t="shared" si="1"/>
        <v>45.538393531263367</v>
      </c>
      <c r="P16" s="161">
        <f t="shared" si="2"/>
        <v>73.552532789670408</v>
      </c>
    </row>
    <row r="17" spans="2:16" x14ac:dyDescent="0.3">
      <c r="B17" s="158" t="s">
        <v>354</v>
      </c>
      <c r="C17" s="158" t="s">
        <v>385</v>
      </c>
      <c r="D17" s="159">
        <f>'Market Data'!D10</f>
        <v>763.25</v>
      </c>
      <c r="E17" s="159">
        <f>'Market Data'!E10</f>
        <v>129.81</v>
      </c>
      <c r="F17" s="159">
        <f>'Market Data'!F10</f>
        <v>99077.482499999998</v>
      </c>
      <c r="G17" s="159">
        <f>'Market Data'!I10</f>
        <v>-202</v>
      </c>
      <c r="H17" s="159">
        <f>'Market Data'!J10</f>
        <v>98875.482499999998</v>
      </c>
      <c r="I17" s="160"/>
      <c r="J17" s="159">
        <f>'Market Data'!K10</f>
        <v>10831</v>
      </c>
      <c r="K17" s="159">
        <f>'Market Data'!M10</f>
        <v>1885.6771000000001</v>
      </c>
      <c r="L17" s="159">
        <f>'Market Data'!N10</f>
        <v>1750</v>
      </c>
      <c r="M17" s="160"/>
      <c r="N17" s="173">
        <f t="shared" si="0"/>
        <v>9.1289338472901846</v>
      </c>
      <c r="O17" s="173">
        <f t="shared" si="1"/>
        <v>52.435001994774183</v>
      </c>
      <c r="P17" s="161">
        <f t="shared" si="2"/>
        <v>56.615704285714287</v>
      </c>
    </row>
    <row r="18" spans="2:16" x14ac:dyDescent="0.3">
      <c r="B18" s="158" t="s">
        <v>355</v>
      </c>
      <c r="C18" s="158" t="s">
        <v>386</v>
      </c>
      <c r="D18" s="159">
        <f>'Market Data'!D11</f>
        <v>1268.2</v>
      </c>
      <c r="E18" s="159">
        <f>'Market Data'!E11</f>
        <v>72.739999999999995</v>
      </c>
      <c r="F18" s="159">
        <f>'Market Data'!F11</f>
        <v>92248.868000000002</v>
      </c>
      <c r="G18" s="159">
        <f>'Market Data'!I11</f>
        <v>-1618</v>
      </c>
      <c r="H18" s="159">
        <f>'Market Data'!J11</f>
        <v>90630.868000000002</v>
      </c>
      <c r="I18" s="160"/>
      <c r="J18" s="159">
        <f>'Market Data'!K11</f>
        <v>12069</v>
      </c>
      <c r="K18" s="159">
        <f>'Market Data'!M11</f>
        <v>2200.1787000000004</v>
      </c>
      <c r="L18" s="159">
        <f>'Market Data'!N11</f>
        <v>1720</v>
      </c>
      <c r="M18" s="160"/>
      <c r="N18" s="173">
        <f t="shared" si="0"/>
        <v>7.5093933217333664</v>
      </c>
      <c r="O18" s="173">
        <f t="shared" si="1"/>
        <v>41.19250313622252</v>
      </c>
      <c r="P18" s="161">
        <f t="shared" si="2"/>
        <v>53.633062790697679</v>
      </c>
    </row>
    <row r="19" spans="2:16" x14ac:dyDescent="0.3">
      <c r="B19" s="158" t="s">
        <v>356</v>
      </c>
      <c r="C19" s="158" t="s">
        <v>387</v>
      </c>
      <c r="D19" s="159">
        <f>'Market Data'!D12</f>
        <v>435.7</v>
      </c>
      <c r="E19" s="159">
        <f>'Market Data'!E12</f>
        <v>177.37</v>
      </c>
      <c r="F19" s="159">
        <f>'Market Data'!F12</f>
        <v>77280.108999999997</v>
      </c>
      <c r="G19" s="159">
        <f>'Market Data'!I12</f>
        <v>723.42000000000007</v>
      </c>
      <c r="H19" s="159">
        <f>'Market Data'!J12</f>
        <v>78003.528999999995</v>
      </c>
      <c r="I19" s="160"/>
      <c r="J19" s="159">
        <f>'Market Data'!K12</f>
        <v>12563.09</v>
      </c>
      <c r="K19" s="159">
        <f>'Market Data'!M12</f>
        <v>2337.9910489999997</v>
      </c>
      <c r="L19" s="159">
        <f>'Market Data'!N12</f>
        <v>1819.42</v>
      </c>
      <c r="M19" s="160"/>
      <c r="N19" s="173">
        <f t="shared" si="0"/>
        <v>6.2089445351422299</v>
      </c>
      <c r="O19" s="173">
        <f t="shared" si="1"/>
        <v>33.363484874488073</v>
      </c>
      <c r="P19" s="161">
        <f t="shared" si="2"/>
        <v>42.475134383484843</v>
      </c>
    </row>
    <row r="21" spans="2:16" x14ac:dyDescent="0.3">
      <c r="B21" s="48" t="s">
        <v>389</v>
      </c>
      <c r="C21" s="48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3">
        <f>MAX(M10:N19)</f>
        <v>11.943816170632367</v>
      </c>
      <c r="O21" s="163">
        <f t="shared" ref="O21:P21" si="3">MAX(N10:O19)</f>
        <v>53.107230638649924</v>
      </c>
      <c r="P21" s="163">
        <f t="shared" si="3"/>
        <v>73.552532789670408</v>
      </c>
    </row>
    <row r="22" spans="2:16" ht="16.2" x14ac:dyDescent="0.3">
      <c r="B22" s="48" t="s">
        <v>388</v>
      </c>
      <c r="C22" s="48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3">
        <f>QUARTILE(N10:N19,3)</f>
        <v>7.9320325543154153</v>
      </c>
      <c r="O22" s="163">
        <f t="shared" ref="O22:P22" si="4">QUARTILE(O10:O19,3)</f>
        <v>44.451920932503157</v>
      </c>
      <c r="P22" s="163">
        <f t="shared" si="4"/>
        <v>59.571906967344248</v>
      </c>
    </row>
    <row r="23" spans="2:16" x14ac:dyDescent="0.3">
      <c r="B23" s="84" t="s">
        <v>164</v>
      </c>
      <c r="C23" s="84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6">
        <f>AVERAGE(N10:N19)</f>
        <v>7.6118030578622724</v>
      </c>
      <c r="O23" s="166">
        <f t="shared" ref="O23:P23" si="5">AVERAGE(O10:O19)</f>
        <v>38.40373925633947</v>
      </c>
      <c r="P23" s="166">
        <f t="shared" si="5"/>
        <v>50.816985233103118</v>
      </c>
    </row>
    <row r="24" spans="2:16" x14ac:dyDescent="0.3">
      <c r="B24" s="84" t="s">
        <v>165</v>
      </c>
      <c r="C24" s="84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6">
        <f>MEDIAN(N10:N19)</f>
        <v>7.5379684648958492</v>
      </c>
      <c r="O24" s="166">
        <f t="shared" ref="O24:P24" si="6">MEDIAN(O10:O19)</f>
        <v>40.139903581022644</v>
      </c>
      <c r="P24" s="166">
        <f t="shared" si="6"/>
        <v>54.518246921366234</v>
      </c>
    </row>
    <row r="25" spans="2:16" ht="16.2" x14ac:dyDescent="0.3">
      <c r="B25" s="48" t="s">
        <v>391</v>
      </c>
      <c r="C25" s="48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3">
        <f>QUARTILE(N10:N19,1)</f>
        <v>6.3454174941690153</v>
      </c>
      <c r="O25" s="163">
        <f t="shared" ref="O25:P25" si="7">QUARTILE(O10:O19,1)</f>
        <v>33.613687546383119</v>
      </c>
      <c r="P25" s="163">
        <f t="shared" si="7"/>
        <v>43.774176485514374</v>
      </c>
    </row>
    <row r="26" spans="2:16" x14ac:dyDescent="0.3">
      <c r="B26" s="48" t="s">
        <v>390</v>
      </c>
      <c r="C26" s="48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4">
        <f>MIN(N10:N19)</f>
        <v>5.0125319389713736</v>
      </c>
      <c r="O26" s="164">
        <f t="shared" ref="O26:P26" si="8">MIN(O10:O19)</f>
        <v>14.865159961362318</v>
      </c>
      <c r="P26" s="164">
        <f t="shared" si="8"/>
        <v>10.781958104201545</v>
      </c>
    </row>
    <row r="28" spans="2:16" x14ac:dyDescent="0.3">
      <c r="B28" s="10" t="str">
        <f>'Data Sheet'!B1&amp;"  Comparable Valuation"</f>
        <v>HINDUSTAN UNILEVER LTD  Comparable Valuation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47" t="s">
        <v>351</v>
      </c>
      <c r="O28" s="47" t="s">
        <v>350</v>
      </c>
      <c r="P28" s="47" t="s">
        <v>352</v>
      </c>
    </row>
    <row r="29" spans="2:16" ht="3" customHeight="1" x14ac:dyDescent="0.3"/>
    <row r="30" spans="2:16" x14ac:dyDescent="0.3">
      <c r="B30" s="158" t="s">
        <v>392</v>
      </c>
      <c r="C30" s="158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59">
        <f>N$24*J10</f>
        <v>475804.10747269087</v>
      </c>
      <c r="O30" s="159">
        <f t="shared" ref="O30:P30" si="9">O$24*K10</f>
        <v>584771.23308882816</v>
      </c>
      <c r="P30" s="159">
        <f t="shared" si="9"/>
        <v>792695.31023666507</v>
      </c>
    </row>
    <row r="31" spans="2:16" x14ac:dyDescent="0.3">
      <c r="B31" s="158" t="s">
        <v>343</v>
      </c>
      <c r="C31" s="158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59">
        <f>$G$10</f>
        <v>-5779</v>
      </c>
      <c r="O31" s="159">
        <f t="shared" ref="O31:P31" si="10">$G$10</f>
        <v>-5779</v>
      </c>
      <c r="P31" s="159">
        <f t="shared" si="10"/>
        <v>-5779</v>
      </c>
    </row>
    <row r="32" spans="2:16" x14ac:dyDescent="0.3">
      <c r="B32" s="158" t="s">
        <v>393</v>
      </c>
      <c r="C32" s="158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59">
        <f>N30+N31</f>
        <v>470025.10747269087</v>
      </c>
      <c r="O32" s="159">
        <f t="shared" ref="O32:P32" si="11">O30+O31</f>
        <v>578992.23308882816</v>
      </c>
      <c r="P32" s="159">
        <f t="shared" si="11"/>
        <v>786916.31023666507</v>
      </c>
    </row>
    <row r="33" spans="2:16" x14ac:dyDescent="0.3">
      <c r="B33" s="158" t="s">
        <v>394</v>
      </c>
      <c r="C33" s="158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59">
        <f>$E$10</f>
        <v>234.96</v>
      </c>
      <c r="O33" s="159">
        <f t="shared" ref="O33:P33" si="12">$E$10</f>
        <v>234.96</v>
      </c>
      <c r="P33" s="159">
        <f t="shared" si="12"/>
        <v>234.96</v>
      </c>
    </row>
    <row r="34" spans="2:16" ht="3" customHeight="1" x14ac:dyDescent="0.3">
      <c r="N34" s="103"/>
      <c r="O34" s="103"/>
      <c r="P34" s="103"/>
    </row>
    <row r="35" spans="2:16" ht="15" thickBot="1" x14ac:dyDescent="0.35">
      <c r="B35" s="138" t="s">
        <v>395</v>
      </c>
      <c r="C35" s="138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8">
        <f>N32/N33</f>
        <v>2000.4473419845542</v>
      </c>
      <c r="O35" s="168">
        <f t="shared" ref="O35:P35" si="13">O32/O33</f>
        <v>2464.216177599711</v>
      </c>
      <c r="P35" s="168">
        <f t="shared" si="13"/>
        <v>3349.1501116643899</v>
      </c>
    </row>
    <row r="36" spans="2:16" customFormat="1" ht="3.6" customHeight="1" thickTop="1" x14ac:dyDescent="0.3"/>
    <row r="37" spans="2:16" x14ac:dyDescent="0.3">
      <c r="B37" s="14" t="s">
        <v>396</v>
      </c>
    </row>
    <row r="38" spans="2:16" x14ac:dyDescent="0.3">
      <c r="N38" s="45" t="str">
        <f>IF(N35&gt;$D$10,"Undervalued", "Overvalued")</f>
        <v>Overvalued</v>
      </c>
      <c r="O38" s="45" t="str">
        <f t="shared" ref="O38:P38" si="14">IF(O35&gt;$D$10,"Undervalued", "Overvalued")</f>
        <v>Undervalued</v>
      </c>
      <c r="P38" s="45" t="str">
        <f t="shared" si="14"/>
        <v>Undervalued</v>
      </c>
    </row>
  </sheetData>
  <mergeCells count="4">
    <mergeCell ref="B1:G3"/>
    <mergeCell ref="D8:H8"/>
    <mergeCell ref="J8:L8"/>
    <mergeCell ref="N8:P8"/>
  </mergeCells>
  <conditionalFormatting sqref="N10:N19">
    <cfRule type="top10" dxfId="6" priority="3" percent="1" bottom="1" rank="10"/>
    <cfRule type="top10" dxfId="5" priority="6" rank="1"/>
  </conditionalFormatting>
  <conditionalFormatting sqref="O10:O19">
    <cfRule type="top10" dxfId="4" priority="2" percent="1" bottom="1" rank="10"/>
    <cfRule type="top10" dxfId="3" priority="5" rank="1"/>
  </conditionalFormatting>
  <conditionalFormatting sqref="P10:P19">
    <cfRule type="top10" dxfId="2" priority="1" percent="1" bottom="1" rank="10"/>
    <cfRule type="top10" dxfId="1" priority="4" percent="1" rank="10"/>
  </conditionalFormatting>
  <pageMargins left="0.25" right="0.25" top="0.75" bottom="0.75" header="0.3" footer="0.3"/>
  <pageSetup scale="8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B0E1-341E-4572-8A4F-347A7E978B24}">
  <sheetPr>
    <pageSetUpPr fitToPage="1"/>
  </sheetPr>
  <dimension ref="B1:M44"/>
  <sheetViews>
    <sheetView showGridLines="0" workbookViewId="0">
      <selection activeCell="B1" sqref="B1:M44"/>
    </sheetView>
  </sheetViews>
  <sheetFormatPr defaultRowHeight="14.4" x14ac:dyDescent="0.3"/>
  <cols>
    <col min="1" max="1" width="1.88671875" customWidth="1"/>
    <col min="2" max="2" width="38.33203125" bestFit="1" customWidth="1"/>
    <col min="3" max="3" width="10.6640625" bestFit="1" customWidth="1"/>
    <col min="4" max="4" width="8" bestFit="1" customWidth="1"/>
    <col min="5" max="6" width="10" bestFit="1" customWidth="1"/>
    <col min="7" max="7" width="17.88671875" customWidth="1"/>
    <col min="9" max="9" width="7" bestFit="1" customWidth="1"/>
    <col min="11" max="11" width="9.5546875" bestFit="1" customWidth="1"/>
  </cols>
  <sheetData>
    <row r="1" spans="2:13" ht="14.4" customHeight="1" x14ac:dyDescent="0.3">
      <c r="B1" s="180" t="s">
        <v>399</v>
      </c>
      <c r="C1" s="180"/>
      <c r="D1" s="180"/>
      <c r="E1" s="180"/>
      <c r="F1" s="180"/>
      <c r="G1" s="180"/>
      <c r="H1" s="175"/>
      <c r="I1" s="176"/>
      <c r="J1" s="175"/>
    </row>
    <row r="2" spans="2:13" ht="14.4" customHeight="1" x14ac:dyDescent="0.3">
      <c r="B2" s="180"/>
      <c r="C2" s="180"/>
      <c r="D2" s="180"/>
      <c r="E2" s="180"/>
      <c r="F2" s="180"/>
      <c r="G2" s="180"/>
      <c r="H2" s="175"/>
      <c r="I2" s="176"/>
      <c r="J2" s="175"/>
    </row>
    <row r="3" spans="2:13" ht="14.4" customHeight="1" x14ac:dyDescent="0.3">
      <c r="B3" s="180"/>
      <c r="C3" s="180"/>
      <c r="D3" s="180"/>
      <c r="E3" s="180"/>
      <c r="F3" s="180"/>
      <c r="G3" s="180"/>
      <c r="H3" s="175"/>
      <c r="I3" s="176"/>
      <c r="J3" s="175"/>
    </row>
    <row r="5" spans="2:13" x14ac:dyDescent="0.3">
      <c r="B5" s="53" t="s">
        <v>150</v>
      </c>
      <c r="C5" s="53"/>
      <c r="D5" s="54"/>
      <c r="E5" s="54"/>
      <c r="F5" s="54"/>
      <c r="G5" s="54"/>
      <c r="H5" s="54"/>
      <c r="I5" s="54"/>
      <c r="J5" s="54"/>
      <c r="K5" s="54"/>
      <c r="L5" s="54"/>
      <c r="M5" s="54"/>
    </row>
    <row r="7" spans="2:13" x14ac:dyDescent="0.3">
      <c r="B7" s="14" t="s">
        <v>151</v>
      </c>
      <c r="C7" s="14"/>
    </row>
    <row r="9" spans="2:13" x14ac:dyDescent="0.3">
      <c r="B9" s="53" t="s">
        <v>152</v>
      </c>
      <c r="C9" s="53"/>
      <c r="D9" s="53"/>
      <c r="E9" s="53"/>
      <c r="F9" s="53"/>
      <c r="G9" s="53"/>
      <c r="H9" s="53"/>
      <c r="I9" s="53"/>
      <c r="J9" s="53"/>
      <c r="K9" s="53"/>
    </row>
    <row r="10" spans="2:13" x14ac:dyDescent="0.3">
      <c r="B10" s="56"/>
      <c r="C10" s="56"/>
      <c r="D10" s="146"/>
      <c r="E10" s="146"/>
      <c r="F10" s="146"/>
      <c r="G10" s="146"/>
      <c r="H10" s="146" t="s">
        <v>158</v>
      </c>
      <c r="I10" s="146" t="s">
        <v>158</v>
      </c>
      <c r="J10" s="146" t="s">
        <v>161</v>
      </c>
      <c r="K10" s="146" t="s">
        <v>163</v>
      </c>
    </row>
    <row r="11" spans="2:13" ht="16.2" x14ac:dyDescent="0.3">
      <c r="B11" s="57" t="s">
        <v>153</v>
      </c>
      <c r="C11" s="57"/>
      <c r="D11" s="147" t="s">
        <v>154</v>
      </c>
      <c r="E11" s="147" t="s">
        <v>155</v>
      </c>
      <c r="F11" s="147" t="s">
        <v>156</v>
      </c>
      <c r="G11" s="147" t="s">
        <v>329</v>
      </c>
      <c r="H11" s="147" t="s">
        <v>159</v>
      </c>
      <c r="I11" s="147" t="s">
        <v>160</v>
      </c>
      <c r="J11" s="147" t="s">
        <v>330</v>
      </c>
      <c r="K11" s="147" t="s">
        <v>331</v>
      </c>
    </row>
    <row r="12" spans="2:13" x14ac:dyDescent="0.3">
      <c r="B12" t="s">
        <v>314</v>
      </c>
      <c r="D12" s="45" t="s">
        <v>186</v>
      </c>
      <c r="E12" s="68">
        <v>1775</v>
      </c>
      <c r="F12" s="68">
        <v>504703.92</v>
      </c>
      <c r="G12" s="152">
        <v>0.25</v>
      </c>
      <c r="H12" s="69">
        <f>E12/F12</f>
        <v>3.5169134410527264E-3</v>
      </c>
      <c r="I12" s="69">
        <f>E12/(E12+F12)</f>
        <v>3.5045881080302413E-3</v>
      </c>
      <c r="J12" s="80">
        <f>'Beta Calculation'!K17</f>
        <v>0.67290856631040907</v>
      </c>
      <c r="K12" s="80">
        <f>J12/((1-G12)*H12+1)</f>
        <v>0.67113831479034025</v>
      </c>
    </row>
    <row r="13" spans="2:13" x14ac:dyDescent="0.3">
      <c r="B13" t="s">
        <v>316</v>
      </c>
      <c r="D13" s="45" t="s">
        <v>186</v>
      </c>
      <c r="E13" s="68">
        <v>362.97</v>
      </c>
      <c r="F13" s="68">
        <v>380707.86</v>
      </c>
      <c r="G13" s="152">
        <v>0.25</v>
      </c>
      <c r="H13" s="69">
        <f t="shared" ref="H13:H14" si="0">E13/F13</f>
        <v>9.5340821174535258E-4</v>
      </c>
      <c r="I13" s="69">
        <f t="shared" ref="I13:I14" si="1">E13/(E13+F13)</f>
        <v>9.5250009033753661E-4</v>
      </c>
      <c r="J13" s="80">
        <f>'Peer Beta'!H113</f>
        <v>0.52972915881875093</v>
      </c>
      <c r="K13" s="80">
        <f t="shared" ref="K13:K16" si="2">J13/((1-G13)*H13+1)</f>
        <v>0.52935064338103188</v>
      </c>
    </row>
    <row r="14" spans="2:13" x14ac:dyDescent="0.3">
      <c r="B14" t="s">
        <v>317</v>
      </c>
      <c r="D14" s="45" t="s">
        <v>186</v>
      </c>
      <c r="E14" s="68">
        <v>900.81</v>
      </c>
      <c r="F14" s="68">
        <v>6098.95</v>
      </c>
      <c r="G14" s="152">
        <v>0.25</v>
      </c>
      <c r="H14" s="69">
        <f t="shared" si="0"/>
        <v>0.14769919412357865</v>
      </c>
      <c r="I14" s="69">
        <f t="shared" si="1"/>
        <v>0.12869155513903333</v>
      </c>
      <c r="J14" s="80">
        <f>'Peer Beta'!L113</f>
        <v>1.0167884872541002</v>
      </c>
      <c r="K14" s="80">
        <f t="shared" si="2"/>
        <v>0.91538704104856938</v>
      </c>
    </row>
    <row r="15" spans="2:13" x14ac:dyDescent="0.3">
      <c r="B15" t="s">
        <v>322</v>
      </c>
      <c r="D15" s="45" t="s">
        <v>186</v>
      </c>
      <c r="E15" s="68">
        <v>476.85</v>
      </c>
      <c r="F15" s="68">
        <v>240933.28</v>
      </c>
      <c r="G15" s="152">
        <v>0.25</v>
      </c>
      <c r="H15" s="69">
        <f>E15/F15</f>
        <v>1.9791786340185133E-3</v>
      </c>
      <c r="I15" s="69">
        <f>E15/(E15+F15)</f>
        <v>1.9752692233751751E-3</v>
      </c>
      <c r="J15" s="80">
        <f>'Peer Beta'!P113</f>
        <v>0.81759041700141011</v>
      </c>
      <c r="K15" s="80">
        <f t="shared" si="2"/>
        <v>0.81637859769304211</v>
      </c>
    </row>
    <row r="16" spans="2:13" x14ac:dyDescent="0.3">
      <c r="B16" t="s">
        <v>325</v>
      </c>
      <c r="D16" s="45" t="s">
        <v>186</v>
      </c>
      <c r="E16" s="68">
        <v>4113.49</v>
      </c>
      <c r="F16" s="68">
        <v>109865.79</v>
      </c>
      <c r="G16" s="152">
        <v>0.25</v>
      </c>
      <c r="H16" s="69">
        <f>E16/F16</f>
        <v>3.7441045115135477E-2</v>
      </c>
      <c r="I16" s="69">
        <f>E16/(E16+F16)</f>
        <v>3.6089805094399609E-2</v>
      </c>
      <c r="J16" s="80">
        <f>'Peer Beta'!T113</f>
        <v>0.8906430869859161</v>
      </c>
      <c r="K16" s="80">
        <f t="shared" si="2"/>
        <v>0.866316247700324</v>
      </c>
    </row>
    <row r="17" spans="2:11" x14ac:dyDescent="0.3">
      <c r="B17" t="s">
        <v>324</v>
      </c>
      <c r="D17" s="45" t="s">
        <v>186</v>
      </c>
      <c r="E17" s="68">
        <v>2196.3000000000002</v>
      </c>
      <c r="F17" s="68">
        <v>133956.47</v>
      </c>
      <c r="G17" s="152">
        <v>0.25</v>
      </c>
      <c r="H17" s="69">
        <f>E17/F17</f>
        <v>1.6395624638362E-2</v>
      </c>
      <c r="I17" s="69">
        <f>E17/(E17+F17)</f>
        <v>1.6131144448989179E-2</v>
      </c>
      <c r="J17" s="80">
        <f>'Peer Beta'!X113</f>
        <v>0.54348000300754173</v>
      </c>
      <c r="K17" s="80">
        <f t="shared" ref="K17" si="3">J17/((1-G17)*H17+1)</f>
        <v>0.53687816337511807</v>
      </c>
    </row>
    <row r="19" spans="2:11" x14ac:dyDescent="0.3">
      <c r="G19" s="56" t="s">
        <v>164</v>
      </c>
      <c r="H19" s="70">
        <f>IFERROR(AVERAGE(H12:H17),0)</f>
        <v>3.4664227360648787E-2</v>
      </c>
      <c r="I19" s="70">
        <f t="shared" ref="I19:K19" si="4">IFERROR(AVERAGE(I12:I17),0)</f>
        <v>3.1224143684027511E-2</v>
      </c>
      <c r="J19" s="82">
        <f t="shared" si="4"/>
        <v>0.74518995322968795</v>
      </c>
      <c r="K19" s="82">
        <f t="shared" si="4"/>
        <v>0.7225748346647376</v>
      </c>
    </row>
    <row r="20" spans="2:11" x14ac:dyDescent="0.3">
      <c r="G20" s="57" t="s">
        <v>165</v>
      </c>
      <c r="H20" s="71">
        <f>IFERROR(AVERAGE(H13:H18),0)</f>
        <v>4.0893690144568E-2</v>
      </c>
      <c r="I20" s="71">
        <f t="shared" ref="I20:K20" si="5">IFERROR(AVERAGE(I13:I18),0)</f>
        <v>3.6768054799226971E-2</v>
      </c>
      <c r="J20" s="81">
        <f t="shared" si="5"/>
        <v>0.75964623061354375</v>
      </c>
      <c r="K20" s="81">
        <f t="shared" si="5"/>
        <v>0.73286213863961713</v>
      </c>
    </row>
    <row r="24" spans="2:11" x14ac:dyDescent="0.3">
      <c r="B24" s="58" t="s">
        <v>166</v>
      </c>
      <c r="C24" s="58"/>
      <c r="D24" s="59"/>
      <c r="G24" s="58" t="s">
        <v>169</v>
      </c>
      <c r="H24" s="58"/>
    </row>
    <row r="25" spans="2:11" x14ac:dyDescent="0.3">
      <c r="G25" t="s">
        <v>170</v>
      </c>
      <c r="H25" s="92">
        <v>6.9099999999999995E-2</v>
      </c>
    </row>
    <row r="26" spans="2:11" ht="16.2" x14ac:dyDescent="0.3">
      <c r="B26" t="s">
        <v>168</v>
      </c>
      <c r="D26" s="4">
        <f>Historicals!L25/Historicals!L55</f>
        <v>0.23968446601941748</v>
      </c>
      <c r="G26" t="s">
        <v>171</v>
      </c>
      <c r="H26" s="64">
        <f>I36</f>
        <v>0.7553392165517776</v>
      </c>
    </row>
    <row r="27" spans="2:11" x14ac:dyDescent="0.3">
      <c r="B27" t="s">
        <v>157</v>
      </c>
      <c r="D27" s="86">
        <v>0.25</v>
      </c>
      <c r="G27" t="s">
        <v>172</v>
      </c>
      <c r="H27" s="4">
        <f>Rm!G15-WACC!H25</f>
        <v>7.2549999999999976E-2</v>
      </c>
    </row>
    <row r="28" spans="2:11" x14ac:dyDescent="0.3">
      <c r="B28" s="60" t="s">
        <v>167</v>
      </c>
      <c r="C28" s="60"/>
      <c r="D28" s="87">
        <f>D26*(1-D27)</f>
        <v>0.1797633495145631</v>
      </c>
      <c r="G28" s="60" t="s">
        <v>169</v>
      </c>
      <c r="H28" s="87">
        <f>H25+H27*H26</f>
        <v>0.12389986016083143</v>
      </c>
    </row>
    <row r="31" spans="2:11" x14ac:dyDescent="0.3">
      <c r="B31" s="58" t="s">
        <v>173</v>
      </c>
      <c r="C31" s="58"/>
      <c r="D31" s="59"/>
      <c r="E31" s="59"/>
      <c r="G31" s="65" t="s">
        <v>178</v>
      </c>
      <c r="H31" s="59"/>
      <c r="I31" s="59"/>
    </row>
    <row r="32" spans="2:11" x14ac:dyDescent="0.3">
      <c r="G32" s="63"/>
    </row>
    <row r="33" spans="2:9" x14ac:dyDescent="0.3">
      <c r="D33" s="61" t="s">
        <v>174</v>
      </c>
      <c r="E33" s="61" t="s">
        <v>175</v>
      </c>
      <c r="G33" s="64" t="s">
        <v>179</v>
      </c>
      <c r="I33" s="64">
        <f>K20</f>
        <v>0.73286213863961713</v>
      </c>
    </row>
    <row r="34" spans="2:9" x14ac:dyDescent="0.3">
      <c r="B34" t="s">
        <v>155</v>
      </c>
      <c r="C34" s="85">
        <f>E12</f>
        <v>1775</v>
      </c>
      <c r="D34" s="4">
        <f>C34/C36</f>
        <v>3.5045881080302413E-3</v>
      </c>
      <c r="E34" s="4">
        <f>I20</f>
        <v>3.6768054799226971E-2</v>
      </c>
      <c r="G34" t="s">
        <v>180</v>
      </c>
      <c r="I34" s="4">
        <f>H20</f>
        <v>4.0893690144568E-2</v>
      </c>
    </row>
    <row r="35" spans="2:9" x14ac:dyDescent="0.3">
      <c r="B35" t="s">
        <v>45</v>
      </c>
      <c r="C35" s="85">
        <f>F12</f>
        <v>504703.92</v>
      </c>
      <c r="D35" s="4">
        <f>C35/C36</f>
        <v>0.99649541189196977</v>
      </c>
      <c r="E35" s="4">
        <f>1-E34</f>
        <v>0.96323194520077304</v>
      </c>
      <c r="G35" s="34" t="s">
        <v>157</v>
      </c>
      <c r="H35" s="34"/>
      <c r="I35" s="88">
        <f>D27</f>
        <v>0.25</v>
      </c>
    </row>
    <row r="36" spans="2:9" x14ac:dyDescent="0.3">
      <c r="B36" t="s">
        <v>176</v>
      </c>
      <c r="C36" s="85">
        <f>SUM(C34:C35)</f>
        <v>506478.92</v>
      </c>
      <c r="D36" s="4">
        <f>SUM(D34:D35)</f>
        <v>1</v>
      </c>
      <c r="E36" s="35">
        <f>SUM(E34:E35)</f>
        <v>1</v>
      </c>
      <c r="G36" t="s">
        <v>181</v>
      </c>
      <c r="I36" s="64">
        <f>I33*(1+(1-I35)*I34)</f>
        <v>0.7553392165517776</v>
      </c>
    </row>
    <row r="38" spans="2:9" x14ac:dyDescent="0.3">
      <c r="B38" t="s">
        <v>177</v>
      </c>
      <c r="C38" s="4">
        <f>C34/C35</f>
        <v>3.5169134410527264E-3</v>
      </c>
      <c r="G38" s="62" t="s">
        <v>150</v>
      </c>
      <c r="H38" s="55"/>
      <c r="I38" s="55"/>
    </row>
    <row r="39" spans="2:9" x14ac:dyDescent="0.3">
      <c r="G39" s="64"/>
    </row>
    <row r="40" spans="2:9" x14ac:dyDescent="0.3">
      <c r="G40" t="s">
        <v>227</v>
      </c>
      <c r="I40" s="4">
        <f>D28*E34</f>
        <v>6.6095486858440472E-3</v>
      </c>
    </row>
    <row r="41" spans="2:9" x14ac:dyDescent="0.3">
      <c r="B41" s="66" t="s">
        <v>182</v>
      </c>
      <c r="C41" s="66"/>
      <c r="G41" t="s">
        <v>228</v>
      </c>
      <c r="I41" s="4">
        <f>H28*E35</f>
        <v>0.11934430331282142</v>
      </c>
    </row>
    <row r="42" spans="2:9" x14ac:dyDescent="0.3">
      <c r="B42" s="66" t="s">
        <v>183</v>
      </c>
      <c r="C42" s="66"/>
      <c r="G42" s="93" t="s">
        <v>229</v>
      </c>
      <c r="H42" s="93"/>
      <c r="I42" s="94">
        <f>I40+I41</f>
        <v>0.12595385199866546</v>
      </c>
    </row>
    <row r="43" spans="2:9" x14ac:dyDescent="0.3">
      <c r="B43" s="66" t="s">
        <v>184</v>
      </c>
      <c r="C43" s="66"/>
    </row>
    <row r="44" spans="2:9" x14ac:dyDescent="0.3">
      <c r="B44" s="66" t="s">
        <v>185</v>
      </c>
      <c r="C44" s="66"/>
    </row>
  </sheetData>
  <mergeCells count="1">
    <mergeCell ref="B1:G3"/>
  </mergeCells>
  <pageMargins left="0.25" right="0.25" top="0.75" bottom="0.75" header="0.3" footer="0.3"/>
  <pageSetup scale="7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150C-3163-46A2-8644-1CCA928B5D68}">
  <sheetPr>
    <pageSetUpPr fitToPage="1"/>
  </sheetPr>
  <dimension ref="B1:O24"/>
  <sheetViews>
    <sheetView showGridLines="0" workbookViewId="0">
      <selection activeCell="B1" sqref="B1:O55"/>
    </sheetView>
  </sheetViews>
  <sheetFormatPr defaultRowHeight="14.4" x14ac:dyDescent="0.3"/>
  <cols>
    <col min="1" max="1" width="1.88671875" customWidth="1"/>
    <col min="2" max="2" width="10.88671875" bestFit="1" customWidth="1"/>
    <col min="3" max="3" width="6.109375" bestFit="1" customWidth="1"/>
    <col min="4" max="4" width="9" bestFit="1" customWidth="1"/>
    <col min="5" max="5" width="11.88671875" bestFit="1" customWidth="1"/>
    <col min="6" max="6" width="1.88671875" customWidth="1"/>
    <col min="10" max="10" width="14" bestFit="1" customWidth="1"/>
    <col min="11" max="11" width="1.88671875" customWidth="1"/>
    <col min="15" max="15" width="10.77734375" bestFit="1" customWidth="1"/>
  </cols>
  <sheetData>
    <row r="1" spans="2:15" ht="14.4" customHeight="1" x14ac:dyDescent="0.3">
      <c r="B1" s="180" t="s">
        <v>399</v>
      </c>
      <c r="C1" s="180"/>
      <c r="D1" s="180"/>
      <c r="E1" s="180"/>
      <c r="F1" s="180"/>
      <c r="G1" s="180"/>
      <c r="H1" s="180"/>
      <c r="I1" s="180"/>
      <c r="J1" s="180"/>
      <c r="K1" s="175"/>
      <c r="L1" s="175"/>
      <c r="M1" s="176"/>
      <c r="N1" s="175"/>
      <c r="O1" s="175"/>
    </row>
    <row r="2" spans="2:15" ht="14.4" customHeight="1" x14ac:dyDescent="0.3">
      <c r="B2" s="180"/>
      <c r="C2" s="180"/>
      <c r="D2" s="180"/>
      <c r="E2" s="180"/>
      <c r="F2" s="180"/>
      <c r="G2" s="180"/>
      <c r="H2" s="180"/>
      <c r="I2" s="180"/>
      <c r="J2" s="180"/>
      <c r="K2" s="175"/>
      <c r="L2" s="175"/>
      <c r="M2" s="176"/>
      <c r="N2" s="175"/>
      <c r="O2" s="175"/>
    </row>
    <row r="3" spans="2:15" ht="14.4" customHeight="1" x14ac:dyDescent="0.3">
      <c r="B3" s="180"/>
      <c r="C3" s="180"/>
      <c r="D3" s="180"/>
      <c r="E3" s="180"/>
      <c r="F3" s="180"/>
      <c r="G3" s="180"/>
      <c r="H3" s="180"/>
      <c r="I3" s="180"/>
      <c r="J3" s="180"/>
      <c r="K3" s="175"/>
      <c r="L3" s="175"/>
      <c r="M3" s="176"/>
      <c r="N3" s="175"/>
      <c r="O3" s="175"/>
    </row>
    <row r="5" spans="2:15" ht="14.4" customHeight="1" x14ac:dyDescent="0.3">
      <c r="B5" s="179" t="s">
        <v>232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</row>
    <row r="6" spans="2:15" ht="14.4" customHeight="1" x14ac:dyDescent="0.3"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</row>
    <row r="8" spans="2:15" x14ac:dyDescent="0.3">
      <c r="B8" s="182" t="str">
        <f>'Data Sheet'!$B$1&amp;" - "&amp;'Data Sheet'!A17</f>
        <v>HINDUSTAN UNILEVER LTD - Sales</v>
      </c>
      <c r="C8" s="182"/>
      <c r="D8" s="182"/>
      <c r="E8" s="182"/>
      <c r="G8" s="182" t="str">
        <f>'Data Sheet'!$B$1&amp;" - "&amp;Historicals!B22</f>
        <v>HINDUSTAN UNILEVER LTD - EBITDA</v>
      </c>
      <c r="H8" s="182"/>
      <c r="I8" s="182"/>
      <c r="J8" s="182"/>
      <c r="L8" s="182" t="str">
        <f>'Data Sheet'!$B$1&amp;" - "&amp;Historicals!B42</f>
        <v>HINDUSTAN UNILEVER LTD - EPS</v>
      </c>
      <c r="M8" s="182"/>
      <c r="N8" s="182"/>
      <c r="O8" s="182"/>
    </row>
    <row r="9" spans="2:15" x14ac:dyDescent="0.3">
      <c r="B9" s="10" t="s">
        <v>148</v>
      </c>
      <c r="C9" s="47" t="s">
        <v>149</v>
      </c>
      <c r="D9" s="47" t="s">
        <v>1</v>
      </c>
      <c r="E9" s="47" t="s">
        <v>10</v>
      </c>
      <c r="G9" s="10" t="s">
        <v>148</v>
      </c>
      <c r="H9" s="47" t="s">
        <v>149</v>
      </c>
      <c r="I9" s="47" t="s">
        <v>65</v>
      </c>
      <c r="J9" s="47" t="s">
        <v>115</v>
      </c>
      <c r="L9" s="10" t="s">
        <v>148</v>
      </c>
      <c r="M9" s="47" t="s">
        <v>149</v>
      </c>
      <c r="N9" s="47" t="s">
        <v>31</v>
      </c>
      <c r="O9" s="47" t="s">
        <v>328</v>
      </c>
    </row>
    <row r="10" spans="2:15" x14ac:dyDescent="0.3">
      <c r="B10">
        <v>1</v>
      </c>
      <c r="C10" s="46">
        <f>'Data Sheet'!$B$16</f>
        <v>42460</v>
      </c>
      <c r="D10" s="50">
        <f t="array" ref="D10:D19">TRANSPOSE('Data Sheet'!B17:K17)</f>
        <v>32186</v>
      </c>
      <c r="G10">
        <v>1</v>
      </c>
      <c r="H10" s="46">
        <f>'Data Sheet'!$B$16</f>
        <v>42460</v>
      </c>
      <c r="I10" s="50">
        <f t="array" ref="I10:I19">TRANSPOSE(Historicals!C22:L22)</f>
        <v>5910</v>
      </c>
      <c r="L10">
        <v>1</v>
      </c>
      <c r="M10" s="46">
        <f>'Data Sheet'!$B$16</f>
        <v>42460</v>
      </c>
      <c r="N10" s="50">
        <f t="array" ref="N10:N19">TRANSPOSE(Historicals!C42:L42)</f>
        <v>16.937011876704101</v>
      </c>
    </row>
    <row r="11" spans="2:15" x14ac:dyDescent="0.3">
      <c r="B11">
        <f>B10+1</f>
        <v>2</v>
      </c>
      <c r="C11" s="46">
        <f>C10+365</f>
        <v>42825</v>
      </c>
      <c r="D11" s="50">
        <v>33162</v>
      </c>
      <c r="E11" s="4">
        <f>D11/D10-1</f>
        <v>3.03237432424035E-2</v>
      </c>
      <c r="G11">
        <f>G10+1</f>
        <v>2</v>
      </c>
      <c r="H11" s="46">
        <f>H10+365</f>
        <v>42825</v>
      </c>
      <c r="I11" s="50">
        <v>6328</v>
      </c>
      <c r="J11" s="4">
        <f>I11/I10-1</f>
        <v>7.0727580372250465E-2</v>
      </c>
      <c r="L11">
        <f>L10+1</f>
        <v>2</v>
      </c>
      <c r="M11" s="46">
        <f>M10+365</f>
        <v>42825</v>
      </c>
      <c r="N11" s="50">
        <v>17.945756133622879</v>
      </c>
      <c r="O11" s="4">
        <f>N11/N10-1</f>
        <v>5.9558572920778818E-2</v>
      </c>
    </row>
    <row r="12" spans="2:15" x14ac:dyDescent="0.3">
      <c r="B12">
        <f t="shared" ref="B12:B24" si="0">B11+1</f>
        <v>3</v>
      </c>
      <c r="C12" s="46">
        <f t="shared" ref="C12:C24" si="1">C11+365</f>
        <v>43190</v>
      </c>
      <c r="D12" s="50">
        <v>35545</v>
      </c>
      <c r="E12" s="4">
        <f t="shared" ref="E12:E24" si="2">D12/D11-1</f>
        <v>7.1859357095470644E-2</v>
      </c>
      <c r="G12">
        <f t="shared" ref="G12:G24" si="3">G11+1</f>
        <v>3</v>
      </c>
      <c r="H12" s="46">
        <f t="shared" ref="H12:H24" si="4">H11+365</f>
        <v>43190</v>
      </c>
      <c r="I12" s="50">
        <v>7499</v>
      </c>
      <c r="J12" s="4">
        <f t="shared" ref="J12:J24" si="5">I12/I11-1</f>
        <v>0.1850505689001265</v>
      </c>
      <c r="L12">
        <f t="shared" ref="L12:L24" si="6">L11+1</f>
        <v>3</v>
      </c>
      <c r="M12" s="46">
        <f t="shared" ref="M12:M24" si="7">M11+365</f>
        <v>43190</v>
      </c>
      <c r="N12" s="50">
        <v>22.51790251790252</v>
      </c>
      <c r="O12" s="4">
        <f t="shared" ref="O12:O24" si="8">N12/N11-1</f>
        <v>0.25477591193348159</v>
      </c>
    </row>
    <row r="13" spans="2:15" x14ac:dyDescent="0.3">
      <c r="B13">
        <f t="shared" si="0"/>
        <v>4</v>
      </c>
      <c r="C13" s="46">
        <f t="shared" si="1"/>
        <v>43555</v>
      </c>
      <c r="D13" s="50">
        <v>39310</v>
      </c>
      <c r="E13" s="4">
        <f t="shared" si="2"/>
        <v>0.1059220706147137</v>
      </c>
      <c r="G13">
        <f t="shared" si="3"/>
        <v>4</v>
      </c>
      <c r="H13" s="46">
        <f t="shared" si="4"/>
        <v>43555</v>
      </c>
      <c r="I13" s="50">
        <v>8880</v>
      </c>
      <c r="J13" s="4">
        <f t="shared" si="5"/>
        <v>0.1841578877183625</v>
      </c>
      <c r="L13">
        <f t="shared" si="6"/>
        <v>4</v>
      </c>
      <c r="M13" s="46">
        <f t="shared" si="7"/>
        <v>43555</v>
      </c>
      <c r="N13" s="50">
        <v>26.507137247655564</v>
      </c>
      <c r="O13" s="4">
        <f t="shared" si="8"/>
        <v>0.17715836217789205</v>
      </c>
    </row>
    <row r="14" spans="2:15" x14ac:dyDescent="0.3">
      <c r="B14">
        <f t="shared" si="0"/>
        <v>5</v>
      </c>
      <c r="C14" s="46">
        <f t="shared" si="1"/>
        <v>43920</v>
      </c>
      <c r="D14" s="50">
        <v>39783</v>
      </c>
      <c r="E14" s="4">
        <f t="shared" si="2"/>
        <v>1.2032561689137689E-2</v>
      </c>
      <c r="G14">
        <f t="shared" si="3"/>
        <v>5</v>
      </c>
      <c r="H14" s="46">
        <f t="shared" si="4"/>
        <v>43920</v>
      </c>
      <c r="I14" s="50">
        <v>9861</v>
      </c>
      <c r="J14" s="4">
        <f t="shared" si="5"/>
        <v>0.11047297297297298</v>
      </c>
      <c r="L14">
        <f t="shared" si="6"/>
        <v>5</v>
      </c>
      <c r="M14" s="46">
        <f t="shared" si="7"/>
        <v>43920</v>
      </c>
      <c r="N14" s="50">
        <v>29.249815225424982</v>
      </c>
      <c r="O14" s="4">
        <f t="shared" si="8"/>
        <v>0.10346941475213423</v>
      </c>
    </row>
    <row r="15" spans="2:15" x14ac:dyDescent="0.3">
      <c r="B15">
        <f t="shared" si="0"/>
        <v>6</v>
      </c>
      <c r="C15" s="46">
        <f t="shared" si="1"/>
        <v>44285</v>
      </c>
      <c r="D15" s="50">
        <v>47028</v>
      </c>
      <c r="E15" s="4">
        <f t="shared" si="2"/>
        <v>0.18211296282331646</v>
      </c>
      <c r="G15">
        <f t="shared" si="3"/>
        <v>6</v>
      </c>
      <c r="H15" s="46">
        <f t="shared" si="4"/>
        <v>44285</v>
      </c>
      <c r="I15" s="50">
        <v>11626</v>
      </c>
      <c r="J15" s="4">
        <f t="shared" si="5"/>
        <v>0.1789879322583916</v>
      </c>
      <c r="L15">
        <f t="shared" si="6"/>
        <v>6</v>
      </c>
      <c r="M15" s="46">
        <f t="shared" si="7"/>
        <v>44285</v>
      </c>
      <c r="N15" s="50">
        <v>33.320565202587673</v>
      </c>
      <c r="O15" s="4">
        <f t="shared" si="8"/>
        <v>0.1391718185496178</v>
      </c>
    </row>
    <row r="16" spans="2:15" x14ac:dyDescent="0.3">
      <c r="B16">
        <f t="shared" si="0"/>
        <v>7</v>
      </c>
      <c r="C16" s="46">
        <f t="shared" si="1"/>
        <v>44650</v>
      </c>
      <c r="D16" s="50">
        <v>52446</v>
      </c>
      <c r="E16" s="4">
        <f t="shared" si="2"/>
        <v>0.11520796121459553</v>
      </c>
      <c r="G16">
        <f t="shared" si="3"/>
        <v>7</v>
      </c>
      <c r="H16" s="46">
        <f t="shared" si="4"/>
        <v>44650</v>
      </c>
      <c r="I16" s="50">
        <v>12857</v>
      </c>
      <c r="J16" s="4">
        <f t="shared" si="5"/>
        <v>0.10588336487183891</v>
      </c>
      <c r="L16">
        <f t="shared" si="6"/>
        <v>7</v>
      </c>
      <c r="M16" s="46">
        <f t="shared" si="7"/>
        <v>44650</v>
      </c>
      <c r="N16" s="50">
        <v>36.912665985699689</v>
      </c>
      <c r="O16" s="4">
        <f t="shared" si="8"/>
        <v>0.10780431728190054</v>
      </c>
    </row>
    <row r="17" spans="2:15" x14ac:dyDescent="0.3">
      <c r="B17">
        <f t="shared" si="0"/>
        <v>8</v>
      </c>
      <c r="C17" s="46">
        <f t="shared" si="1"/>
        <v>45015</v>
      </c>
      <c r="D17" s="50">
        <v>60580</v>
      </c>
      <c r="E17" s="4">
        <f t="shared" si="2"/>
        <v>0.15509285741524614</v>
      </c>
      <c r="G17">
        <f t="shared" si="3"/>
        <v>8</v>
      </c>
      <c r="H17" s="46">
        <f t="shared" si="4"/>
        <v>45015</v>
      </c>
      <c r="I17" s="50">
        <v>14147</v>
      </c>
      <c r="J17" s="4">
        <f t="shared" si="5"/>
        <v>0.10033444816053505</v>
      </c>
      <c r="L17">
        <f t="shared" si="6"/>
        <v>8</v>
      </c>
      <c r="M17" s="46">
        <f t="shared" si="7"/>
        <v>45015</v>
      </c>
      <c r="N17" s="50">
        <v>41.262342526387471</v>
      </c>
      <c r="O17" s="4">
        <f t="shared" si="8"/>
        <v>0.11783696529459253</v>
      </c>
    </row>
    <row r="18" spans="2:15" x14ac:dyDescent="0.3">
      <c r="B18">
        <f t="shared" si="0"/>
        <v>9</v>
      </c>
      <c r="C18" s="46">
        <f t="shared" si="1"/>
        <v>45380</v>
      </c>
      <c r="D18" s="50">
        <v>61896</v>
      </c>
      <c r="E18" s="4">
        <f t="shared" si="2"/>
        <v>2.1723341036645749E-2</v>
      </c>
      <c r="G18">
        <f t="shared" si="3"/>
        <v>9</v>
      </c>
      <c r="H18" s="46">
        <f t="shared" si="4"/>
        <v>45380</v>
      </c>
      <c r="I18" s="50">
        <v>14659</v>
      </c>
      <c r="J18" s="4">
        <f t="shared" si="5"/>
        <v>3.6191418675337594E-2</v>
      </c>
      <c r="L18">
        <f t="shared" si="6"/>
        <v>9</v>
      </c>
      <c r="M18" s="46">
        <f t="shared" si="7"/>
        <v>45380</v>
      </c>
      <c r="N18" s="50">
        <v>40.283452502553622</v>
      </c>
      <c r="O18" s="4">
        <f t="shared" si="8"/>
        <v>-2.3723568849922771E-2</v>
      </c>
    </row>
    <row r="19" spans="2:15" x14ac:dyDescent="0.3">
      <c r="B19">
        <f t="shared" si="0"/>
        <v>10</v>
      </c>
      <c r="C19" s="46">
        <f t="shared" si="1"/>
        <v>45745</v>
      </c>
      <c r="D19" s="50">
        <v>63121</v>
      </c>
      <c r="E19" s="4">
        <f t="shared" si="2"/>
        <v>1.9791262763344974E-2</v>
      </c>
      <c r="G19">
        <f t="shared" si="3"/>
        <v>10</v>
      </c>
      <c r="H19" s="46">
        <f t="shared" si="4"/>
        <v>45745</v>
      </c>
      <c r="I19" s="50">
        <v>14843</v>
      </c>
      <c r="J19" s="4">
        <f t="shared" si="5"/>
        <v>1.255201582645471E-2</v>
      </c>
      <c r="L19">
        <f t="shared" si="6"/>
        <v>10</v>
      </c>
      <c r="M19" s="46">
        <f t="shared" si="7"/>
        <v>45745</v>
      </c>
      <c r="N19" s="50">
        <v>39.789751447054819</v>
      </c>
      <c r="O19" s="4">
        <f t="shared" si="8"/>
        <v>-1.2255678816692983E-2</v>
      </c>
    </row>
    <row r="20" spans="2:15" x14ac:dyDescent="0.3">
      <c r="B20" s="48">
        <f t="shared" si="0"/>
        <v>11</v>
      </c>
      <c r="C20" s="49">
        <f t="shared" si="1"/>
        <v>46110</v>
      </c>
      <c r="D20" s="51">
        <f>FORECAST(B20,_xlfn.ANCHORARRAY($D$10),$B$10:$B$19)</f>
        <v>68218.399999999994</v>
      </c>
      <c r="E20" s="52">
        <f t="shared" si="2"/>
        <v>8.0756008301515969E-2</v>
      </c>
      <c r="G20" s="48">
        <f t="shared" si="3"/>
        <v>11</v>
      </c>
      <c r="H20" s="49">
        <f t="shared" si="4"/>
        <v>46110</v>
      </c>
      <c r="I20" s="51">
        <f>FORECAST(G20,_xlfn.ANCHORARRAY($I$10),$G$10:$G$19)</f>
        <v>16849.333333333336</v>
      </c>
      <c r="J20" s="52">
        <f t="shared" si="5"/>
        <v>0.13517033843113491</v>
      </c>
      <c r="L20" s="48">
        <f t="shared" si="6"/>
        <v>11</v>
      </c>
      <c r="M20" s="49">
        <f t="shared" si="7"/>
        <v>46110</v>
      </c>
      <c r="N20" s="51">
        <f>FORECAST(L20,$N$10:$N$19,$L$10:$L$19)</f>
        <v>46.840908964872376</v>
      </c>
      <c r="O20" s="52">
        <f t="shared" si="8"/>
        <v>0.17721039366631874</v>
      </c>
    </row>
    <row r="21" spans="2:15" x14ac:dyDescent="0.3">
      <c r="B21" s="48">
        <f t="shared" si="0"/>
        <v>12</v>
      </c>
      <c r="C21" s="49">
        <f t="shared" si="1"/>
        <v>46475</v>
      </c>
      <c r="D21" s="51">
        <f t="shared" ref="D21:D24" si="9">FORECAST(B21,_xlfn.ANCHORARRAY($D$10),$B$10:$B$19)</f>
        <v>72166.163636363635</v>
      </c>
      <c r="E21" s="52">
        <f t="shared" si="2"/>
        <v>5.7869484425955964E-2</v>
      </c>
      <c r="G21" s="48">
        <f t="shared" si="3"/>
        <v>12</v>
      </c>
      <c r="H21" s="49">
        <f t="shared" si="4"/>
        <v>46475</v>
      </c>
      <c r="I21" s="51">
        <f>FORECAST(G21,_xlfn.ANCHORARRAY($I$10),$G$10:$G$19)</f>
        <v>17974.484848484848</v>
      </c>
      <c r="J21" s="52">
        <f t="shared" si="5"/>
        <v>6.6777212658355234E-2</v>
      </c>
      <c r="L21" s="48">
        <f t="shared" si="6"/>
        <v>12</v>
      </c>
      <c r="M21" s="49">
        <f t="shared" si="7"/>
        <v>46475</v>
      </c>
      <c r="N21" s="51">
        <f t="shared" ref="N21:N24" si="10">FORECAST(L21,$N$10:$N$19,$L$10:$L$19)</f>
        <v>49.816957855474747</v>
      </c>
      <c r="O21" s="52">
        <f t="shared" si="8"/>
        <v>6.3535250625349926E-2</v>
      </c>
    </row>
    <row r="22" spans="2:15" x14ac:dyDescent="0.3">
      <c r="B22" s="48">
        <f t="shared" si="0"/>
        <v>13</v>
      </c>
      <c r="C22" s="49">
        <f t="shared" si="1"/>
        <v>46840</v>
      </c>
      <c r="D22" s="51">
        <f t="shared" si="9"/>
        <v>76113.927272727276</v>
      </c>
      <c r="E22" s="52">
        <f t="shared" si="2"/>
        <v>5.4703803520108618E-2</v>
      </c>
      <c r="G22" s="48">
        <f t="shared" si="3"/>
        <v>13</v>
      </c>
      <c r="H22" s="49">
        <f t="shared" si="4"/>
        <v>46840</v>
      </c>
      <c r="I22" s="51">
        <f>FORECAST(G22,_xlfn.ANCHORARRAY($I$10),$G$10:$G$19)</f>
        <v>19099.636363636364</v>
      </c>
      <c r="J22" s="52">
        <f t="shared" si="5"/>
        <v>6.259714949473838E-2</v>
      </c>
      <c r="L22" s="48">
        <f t="shared" si="6"/>
        <v>13</v>
      </c>
      <c r="M22" s="49">
        <f t="shared" si="7"/>
        <v>46840</v>
      </c>
      <c r="N22" s="51">
        <f t="shared" si="10"/>
        <v>52.793006746077118</v>
      </c>
      <c r="O22" s="52">
        <f t="shared" si="8"/>
        <v>5.9739675377935786E-2</v>
      </c>
    </row>
    <row r="23" spans="2:15" x14ac:dyDescent="0.3">
      <c r="B23" s="48">
        <f t="shared" si="0"/>
        <v>14</v>
      </c>
      <c r="C23" s="49">
        <f t="shared" si="1"/>
        <v>47205</v>
      </c>
      <c r="D23" s="51">
        <f t="shared" si="9"/>
        <v>80061.690909090903</v>
      </c>
      <c r="E23" s="52">
        <f t="shared" si="2"/>
        <v>5.1866508243862075E-2</v>
      </c>
      <c r="G23" s="48">
        <f t="shared" si="3"/>
        <v>14</v>
      </c>
      <c r="H23" s="49">
        <f t="shared" si="4"/>
        <v>47205</v>
      </c>
      <c r="I23" s="51">
        <f>FORECAST(G23,_xlfn.ANCHORARRAY($I$10),$G$10:$G$19)</f>
        <v>20224.78787878788</v>
      </c>
      <c r="J23" s="52">
        <f t="shared" si="5"/>
        <v>5.890957784377937E-2</v>
      </c>
      <c r="L23" s="48">
        <f t="shared" si="6"/>
        <v>14</v>
      </c>
      <c r="M23" s="49">
        <f t="shared" si="7"/>
        <v>47205</v>
      </c>
      <c r="N23" s="51">
        <f t="shared" si="10"/>
        <v>55.769055636679497</v>
      </c>
      <c r="O23" s="52">
        <f t="shared" si="8"/>
        <v>5.6372028683960407E-2</v>
      </c>
    </row>
    <row r="24" spans="2:15" x14ac:dyDescent="0.3">
      <c r="B24" s="48">
        <f t="shared" si="0"/>
        <v>15</v>
      </c>
      <c r="C24" s="49">
        <f t="shared" si="1"/>
        <v>47570</v>
      </c>
      <c r="D24" s="51">
        <f t="shared" si="9"/>
        <v>84009.454545454544</v>
      </c>
      <c r="E24" s="52">
        <f t="shared" si="2"/>
        <v>4.930902147503069E-2</v>
      </c>
      <c r="G24" s="48">
        <f t="shared" si="3"/>
        <v>15</v>
      </c>
      <c r="H24" s="49">
        <f t="shared" si="4"/>
        <v>47570</v>
      </c>
      <c r="I24" s="51">
        <f>FORECAST(G24,_xlfn.ANCHORARRAY($I$10),$G$10:$G$19)</f>
        <v>21349.939393939392</v>
      </c>
      <c r="J24" s="52">
        <f t="shared" si="5"/>
        <v>5.5632302395200561E-2</v>
      </c>
      <c r="L24" s="48">
        <f t="shared" si="6"/>
        <v>15</v>
      </c>
      <c r="M24" s="49">
        <f t="shared" si="7"/>
        <v>47570</v>
      </c>
      <c r="N24" s="51">
        <f t="shared" si="10"/>
        <v>58.745104527281867</v>
      </c>
      <c r="O24" s="52">
        <f t="shared" si="8"/>
        <v>5.3363802858533926E-2</v>
      </c>
    </row>
  </sheetData>
  <mergeCells count="5">
    <mergeCell ref="B8:E8"/>
    <mergeCell ref="G8:J8"/>
    <mergeCell ref="L8:O8"/>
    <mergeCell ref="B5:O6"/>
    <mergeCell ref="B1:J3"/>
  </mergeCells>
  <pageMargins left="0.25" right="0.25" top="0.75" bottom="0.75" header="0.3" footer="0.3"/>
  <pageSetup scale="85" firstPageNumber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BE8F-1B19-4F31-85FF-141AFD27AE57}">
  <sheetPr>
    <pageSetUpPr fitToPage="1"/>
  </sheetPr>
  <dimension ref="A1:O69"/>
  <sheetViews>
    <sheetView showGridLines="0" zoomScaleNormal="100" workbookViewId="0">
      <selection activeCell="B1" sqref="B1:I69"/>
    </sheetView>
  </sheetViews>
  <sheetFormatPr defaultRowHeight="14.4" x14ac:dyDescent="0.3"/>
  <cols>
    <col min="1" max="1" width="1.88671875" customWidth="1"/>
    <col min="2" max="2" width="29.21875" bestFit="1" customWidth="1"/>
    <col min="5" max="5" width="10" customWidth="1"/>
    <col min="6" max="6" width="10" bestFit="1" customWidth="1"/>
    <col min="7" max="8" width="10" customWidth="1"/>
    <col min="9" max="9" width="10" bestFit="1" customWidth="1"/>
  </cols>
  <sheetData>
    <row r="1" spans="2:15" ht="14.4" customHeight="1" x14ac:dyDescent="0.3">
      <c r="B1" s="180" t="s">
        <v>399</v>
      </c>
      <c r="C1" s="180"/>
      <c r="D1" s="180"/>
      <c r="E1" s="180"/>
      <c r="F1" s="180"/>
      <c r="G1" s="180"/>
      <c r="H1" s="176"/>
      <c r="I1" s="175"/>
      <c r="J1" s="176"/>
      <c r="K1" s="176"/>
      <c r="L1" s="176"/>
      <c r="M1" s="176"/>
      <c r="N1" s="176"/>
      <c r="O1" s="176"/>
    </row>
    <row r="2" spans="2:15" ht="14.4" customHeight="1" x14ac:dyDescent="0.3">
      <c r="B2" s="180"/>
      <c r="C2" s="180"/>
      <c r="D2" s="180"/>
      <c r="E2" s="180"/>
      <c r="F2" s="180"/>
      <c r="G2" s="180"/>
      <c r="H2" s="176"/>
      <c r="I2" s="175"/>
      <c r="J2" s="176"/>
      <c r="K2" s="176"/>
      <c r="L2" s="176"/>
      <c r="M2" s="176"/>
      <c r="N2" s="176"/>
      <c r="O2" s="176"/>
    </row>
    <row r="3" spans="2:15" ht="14.4" customHeight="1" x14ac:dyDescent="0.3">
      <c r="B3" s="180"/>
      <c r="C3" s="180"/>
      <c r="D3" s="180"/>
      <c r="E3" s="180"/>
      <c r="F3" s="180"/>
      <c r="G3" s="180"/>
      <c r="H3" s="176"/>
      <c r="I3" s="175"/>
      <c r="J3" s="176"/>
      <c r="K3" s="176"/>
      <c r="L3" s="176"/>
      <c r="M3" s="176"/>
      <c r="N3" s="176"/>
      <c r="O3" s="176"/>
    </row>
    <row r="5" spans="2:15" x14ac:dyDescent="0.3">
      <c r="B5" s="10" t="s">
        <v>266</v>
      </c>
      <c r="C5" s="10"/>
      <c r="D5" s="10"/>
      <c r="E5" s="107">
        <f>'RAW FS'!J$4</f>
        <v>44256</v>
      </c>
      <c r="F5" s="107">
        <f>'RAW FS'!K$4</f>
        <v>44621</v>
      </c>
      <c r="G5" s="107">
        <f>'RAW FS'!L$4</f>
        <v>44986</v>
      </c>
      <c r="H5" s="107">
        <f>'RAW FS'!M$4</f>
        <v>45352</v>
      </c>
      <c r="I5" s="107">
        <f>'RAW FS'!N$4</f>
        <v>45717</v>
      </c>
    </row>
    <row r="7" spans="2:15" x14ac:dyDescent="0.3">
      <c r="B7" s="2" t="s">
        <v>267</v>
      </c>
    </row>
    <row r="8" spans="2:15" x14ac:dyDescent="0.3">
      <c r="B8" s="108" t="str">
        <f>'RAW FS'!B39</f>
        <v>Inventories</v>
      </c>
      <c r="C8" s="108"/>
      <c r="D8" s="108"/>
      <c r="E8" s="108">
        <f>'RAW FS'!J39</f>
        <v>3579</v>
      </c>
      <c r="F8" s="108">
        <f>'RAW FS'!K39</f>
        <v>4096</v>
      </c>
      <c r="G8" s="108">
        <f>'RAW FS'!L39</f>
        <v>4251</v>
      </c>
      <c r="H8" s="108">
        <f>'RAW FS'!M39</f>
        <v>4022</v>
      </c>
      <c r="I8" s="108">
        <f>'RAW FS'!N39</f>
        <v>4415</v>
      </c>
    </row>
    <row r="9" spans="2:15" x14ac:dyDescent="0.3">
      <c r="B9" s="108" t="str">
        <f>'RAW FS'!B40</f>
        <v>Trade receivables +</v>
      </c>
      <c r="C9" s="108"/>
      <c r="D9" s="108"/>
      <c r="E9" s="108">
        <f>'RAW FS'!J40</f>
        <v>1758</v>
      </c>
      <c r="F9" s="108">
        <f>'RAW FS'!K40</f>
        <v>2236</v>
      </c>
      <c r="G9" s="108">
        <f>'RAW FS'!L40</f>
        <v>3079</v>
      </c>
      <c r="H9" s="108">
        <f>'RAW FS'!M40</f>
        <v>2997</v>
      </c>
      <c r="I9" s="108">
        <f>'RAW FS'!N40</f>
        <v>3819</v>
      </c>
    </row>
    <row r="10" spans="2:15" x14ac:dyDescent="0.3">
      <c r="B10" s="108" t="str">
        <f>'RAW FS'!B41</f>
        <v>Cash Equivalents</v>
      </c>
      <c r="C10" s="108"/>
      <c r="D10" s="108"/>
      <c r="E10" s="108">
        <f>'RAW FS'!J41</f>
        <v>4471</v>
      </c>
      <c r="F10" s="108">
        <f>'RAW FS'!K41</f>
        <v>3846</v>
      </c>
      <c r="G10" s="108">
        <f>'RAW FS'!L41</f>
        <v>4678</v>
      </c>
      <c r="H10" s="108">
        <f>'RAW FS'!M41</f>
        <v>7559</v>
      </c>
      <c r="I10" s="108">
        <f>'RAW FS'!N41</f>
        <v>7554</v>
      </c>
    </row>
    <row r="11" spans="2:15" x14ac:dyDescent="0.3">
      <c r="B11" s="108" t="str">
        <f>'RAW FS'!B42</f>
        <v>Loans n Advances</v>
      </c>
      <c r="C11" s="108"/>
      <c r="D11" s="108"/>
      <c r="E11" s="108">
        <f>'RAW FS'!J42</f>
        <v>78</v>
      </c>
      <c r="F11" s="108">
        <f>'RAW FS'!K42</f>
        <v>170</v>
      </c>
      <c r="G11" s="108">
        <f>'RAW FS'!L42</f>
        <v>188</v>
      </c>
      <c r="H11" s="108">
        <f>'RAW FS'!M42</f>
        <v>172</v>
      </c>
      <c r="I11" s="108">
        <f>'RAW FS'!N42</f>
        <v>242</v>
      </c>
    </row>
    <row r="12" spans="2:15" x14ac:dyDescent="0.3">
      <c r="B12" s="108" t="str">
        <f>'RAW FS'!B43</f>
        <v>Other asset items</v>
      </c>
      <c r="C12" s="108"/>
      <c r="D12" s="108"/>
      <c r="E12" s="108">
        <f>'RAW FS'!J43</f>
        <v>3957</v>
      </c>
      <c r="F12" s="108">
        <f>'RAW FS'!K43</f>
        <v>3851</v>
      </c>
      <c r="G12" s="108">
        <f>'RAW FS'!L43</f>
        <v>4189</v>
      </c>
      <c r="H12" s="108">
        <f>'RAW FS'!M43</f>
        <v>4345</v>
      </c>
      <c r="I12" s="108">
        <f>'RAW FS'!N43</f>
        <v>4679</v>
      </c>
    </row>
    <row r="13" spans="2:15" x14ac:dyDescent="0.3">
      <c r="B13" s="110" t="s">
        <v>84</v>
      </c>
      <c r="C13" s="110"/>
      <c r="D13" s="110"/>
      <c r="E13" s="110">
        <f>SUM(E8:E12)</f>
        <v>13843</v>
      </c>
      <c r="F13" s="110">
        <f>SUM(F8:F12)</f>
        <v>14199</v>
      </c>
      <c r="G13" s="110">
        <f>SUM(G8:G12)</f>
        <v>16385</v>
      </c>
      <c r="H13" s="110">
        <f>SUM(H8:H12)</f>
        <v>19095</v>
      </c>
      <c r="I13" s="110">
        <f>SUM(I8:I12)</f>
        <v>20709</v>
      </c>
    </row>
    <row r="15" spans="2:15" x14ac:dyDescent="0.3">
      <c r="B15" s="2" t="s">
        <v>268</v>
      </c>
    </row>
    <row r="16" spans="2:15" x14ac:dyDescent="0.3">
      <c r="B16" s="108" t="str">
        <f>'RAW FS'!B16</f>
        <v>Trade Payables</v>
      </c>
      <c r="C16" s="108"/>
      <c r="D16" s="108"/>
      <c r="E16" s="108">
        <f>'RAW FS'!J16</f>
        <v>8802</v>
      </c>
      <c r="F16" s="108">
        <f>'RAW FS'!K16</f>
        <v>9068</v>
      </c>
      <c r="G16" s="108">
        <f>'RAW FS'!L16</f>
        <v>9574</v>
      </c>
      <c r="H16" s="108">
        <f>'RAW FS'!M16</f>
        <v>10486</v>
      </c>
      <c r="I16" s="108">
        <f>'RAW FS'!N16</f>
        <v>11315</v>
      </c>
    </row>
    <row r="17" spans="1:9" x14ac:dyDescent="0.3">
      <c r="B17" s="108" t="str">
        <f>'RAW FS'!B17</f>
        <v>Advance from Customers</v>
      </c>
      <c r="C17" s="108"/>
      <c r="D17" s="108"/>
      <c r="E17" s="108">
        <f>'RAW FS'!J17</f>
        <v>96</v>
      </c>
      <c r="F17" s="108">
        <f>'RAW FS'!K17</f>
        <v>119</v>
      </c>
      <c r="G17" s="108">
        <f>'RAW FS'!L17</f>
        <v>98</v>
      </c>
      <c r="H17" s="108">
        <f>'RAW FS'!M17</f>
        <v>91</v>
      </c>
      <c r="I17" s="108">
        <f>'RAW FS'!N17</f>
        <v>105</v>
      </c>
    </row>
    <row r="18" spans="1:9" x14ac:dyDescent="0.3">
      <c r="B18" s="108" t="str">
        <f>'RAW FS'!B18</f>
        <v>Other liability items</v>
      </c>
      <c r="C18" s="108"/>
      <c r="D18" s="108"/>
      <c r="E18" s="108">
        <f>'RAW FS'!J18</f>
        <v>12148</v>
      </c>
      <c r="F18" s="108">
        <f>'RAW FS'!K18</f>
        <v>11189</v>
      </c>
      <c r="G18" s="108">
        <f>'RAW FS'!L18</f>
        <v>11664</v>
      </c>
      <c r="H18" s="108">
        <f>'RAW FS'!M18</f>
        <v>15005</v>
      </c>
      <c r="I18" s="108">
        <f>'RAW FS'!N18</f>
        <v>17186</v>
      </c>
    </row>
    <row r="19" spans="1:9" x14ac:dyDescent="0.3">
      <c r="B19" s="110" t="s">
        <v>245</v>
      </c>
      <c r="C19" s="110"/>
      <c r="D19" s="110"/>
      <c r="E19" s="110">
        <f>SUM(E16:E18)</f>
        <v>21046</v>
      </c>
      <c r="F19" s="110">
        <f t="shared" ref="F19:I19" si="0">SUM(F16:F18)</f>
        <v>20376</v>
      </c>
      <c r="G19" s="110">
        <f t="shared" si="0"/>
        <v>21336</v>
      </c>
      <c r="H19" s="110">
        <f t="shared" si="0"/>
        <v>25582</v>
      </c>
      <c r="I19" s="110">
        <f t="shared" si="0"/>
        <v>28606</v>
      </c>
    </row>
    <row r="21" spans="1:9" ht="15" thickBot="1" x14ac:dyDescent="0.35">
      <c r="A21" t="s">
        <v>58</v>
      </c>
      <c r="B21" s="145" t="s">
        <v>269</v>
      </c>
      <c r="C21" s="145"/>
      <c r="D21" s="145"/>
      <c r="E21" s="145">
        <f>E13-E19</f>
        <v>-7203</v>
      </c>
      <c r="F21" s="145">
        <f t="shared" ref="F21:I21" si="1">F13-F19</f>
        <v>-6177</v>
      </c>
      <c r="G21" s="145">
        <f t="shared" si="1"/>
        <v>-4951</v>
      </c>
      <c r="H21" s="145">
        <f t="shared" si="1"/>
        <v>-6487</v>
      </c>
      <c r="I21" s="145">
        <f t="shared" si="1"/>
        <v>-7897</v>
      </c>
    </row>
    <row r="22" spans="1:9" ht="15" thickTop="1" x14ac:dyDescent="0.3"/>
    <row r="24" spans="1:9" x14ac:dyDescent="0.3">
      <c r="B24" s="2" t="s">
        <v>270</v>
      </c>
    </row>
    <row r="25" spans="1:9" x14ac:dyDescent="0.3">
      <c r="B25" s="108" t="str">
        <f>'RAW FS'!B22</f>
        <v>Land</v>
      </c>
      <c r="C25" s="108"/>
      <c r="D25" s="108"/>
      <c r="E25" s="108">
        <f>'RAW FS'!J22</f>
        <v>477</v>
      </c>
      <c r="F25" s="108">
        <f>'RAW FS'!K22</f>
        <v>477</v>
      </c>
      <c r="G25" s="108">
        <f>'RAW FS'!L22</f>
        <v>609</v>
      </c>
      <c r="H25" s="108">
        <f>'RAW FS'!M22</f>
        <v>633</v>
      </c>
      <c r="I25" s="108">
        <f>'RAW FS'!N22</f>
        <v>628</v>
      </c>
    </row>
    <row r="26" spans="1:9" x14ac:dyDescent="0.3">
      <c r="B26" s="108" t="str">
        <f>'RAW FS'!B23</f>
        <v>Building</v>
      </c>
      <c r="C26" s="108"/>
      <c r="D26" s="108"/>
      <c r="E26" s="108">
        <f>'RAW FS'!J23</f>
        <v>2602</v>
      </c>
      <c r="F26" s="108">
        <f>'RAW FS'!K23</f>
        <v>2788</v>
      </c>
      <c r="G26" s="108">
        <f>'RAW FS'!L23</f>
        <v>3101</v>
      </c>
      <c r="H26" s="108">
        <f>'RAW FS'!M23</f>
        <v>3590</v>
      </c>
      <c r="I26" s="108">
        <f>'RAW FS'!N23</f>
        <v>3833</v>
      </c>
    </row>
    <row r="27" spans="1:9" x14ac:dyDescent="0.3">
      <c r="B27" s="108" t="str">
        <f>'RAW FS'!B24</f>
        <v>Plant Machinery</v>
      </c>
      <c r="C27" s="108"/>
      <c r="D27" s="108"/>
      <c r="E27" s="108">
        <f>'RAW FS'!J24</f>
        <v>6097</v>
      </c>
      <c r="F27" s="108">
        <f>'RAW FS'!K24</f>
        <v>6566</v>
      </c>
      <c r="G27" s="108">
        <f>'RAW FS'!L24</f>
        <v>7612</v>
      </c>
      <c r="H27" s="108">
        <f>'RAW FS'!M24</f>
        <v>8946</v>
      </c>
      <c r="I27" s="108">
        <f>'RAW FS'!N24</f>
        <v>9900</v>
      </c>
    </row>
    <row r="28" spans="1:9" x14ac:dyDescent="0.3">
      <c r="B28" s="108" t="str">
        <f>'RAW FS'!B25</f>
        <v>Equipments</v>
      </c>
      <c r="C28" s="108"/>
      <c r="D28" s="108"/>
      <c r="E28" s="108">
        <f>'RAW FS'!J25</f>
        <v>175</v>
      </c>
      <c r="F28" s="108">
        <f>'RAW FS'!K25</f>
        <v>181</v>
      </c>
      <c r="G28" s="108">
        <f>'RAW FS'!L25</f>
        <v>185</v>
      </c>
      <c r="H28" s="108">
        <f>'RAW FS'!M25</f>
        <v>206</v>
      </c>
      <c r="I28" s="108">
        <f>'RAW FS'!N25</f>
        <v>245</v>
      </c>
    </row>
    <row r="29" spans="1:9" x14ac:dyDescent="0.3">
      <c r="B29" s="108" t="str">
        <f>'RAW FS'!B26</f>
        <v>Furniture n fittings</v>
      </c>
      <c r="C29" s="108"/>
      <c r="D29" s="108"/>
      <c r="E29" s="108">
        <f>'RAW FS'!J26</f>
        <v>156</v>
      </c>
      <c r="F29" s="108">
        <f>'RAW FS'!K26</f>
        <v>152</v>
      </c>
      <c r="G29" s="108">
        <f>'RAW FS'!L26</f>
        <v>161</v>
      </c>
      <c r="H29" s="108">
        <f>'RAW FS'!M26</f>
        <v>165</v>
      </c>
      <c r="I29" s="108">
        <f>'RAW FS'!N26</f>
        <v>174</v>
      </c>
    </row>
    <row r="30" spans="1:9" x14ac:dyDescent="0.3">
      <c r="B30" s="108" t="str">
        <f>'RAW FS'!B27</f>
        <v>Railway sidings</v>
      </c>
      <c r="C30" s="108"/>
      <c r="D30" s="108"/>
      <c r="E30" s="108">
        <f>'RAW FS'!J27</f>
        <v>0</v>
      </c>
      <c r="F30" s="108">
        <f>'RAW FS'!K27</f>
        <v>0</v>
      </c>
      <c r="G30" s="108">
        <f>'RAW FS'!L27</f>
        <v>0</v>
      </c>
      <c r="H30" s="108">
        <f>'RAW FS'!M27</f>
        <v>0</v>
      </c>
      <c r="I30" s="108">
        <f>'RAW FS'!N27</f>
        <v>0</v>
      </c>
    </row>
    <row r="31" spans="1:9" x14ac:dyDescent="0.3">
      <c r="B31" s="108" t="str">
        <f>'RAW FS'!B28</f>
        <v>Vehicles</v>
      </c>
      <c r="C31" s="108"/>
      <c r="D31" s="108"/>
      <c r="E31" s="108">
        <f>'RAW FS'!J28</f>
        <v>0</v>
      </c>
      <c r="F31" s="108">
        <f>'RAW FS'!K28</f>
        <v>0</v>
      </c>
      <c r="G31" s="108">
        <f>'RAW FS'!L28</f>
        <v>33</v>
      </c>
      <c r="H31" s="108">
        <f>'RAW FS'!M28</f>
        <v>39</v>
      </c>
      <c r="I31" s="108">
        <f>'RAW FS'!N28</f>
        <v>102</v>
      </c>
    </row>
    <row r="32" spans="1:9" x14ac:dyDescent="0.3">
      <c r="B32" s="108" t="str">
        <f>'RAW FS'!B29</f>
        <v>Intangible Assets</v>
      </c>
      <c r="C32" s="108"/>
      <c r="D32" s="108"/>
      <c r="E32" s="108">
        <f>'RAW FS'!J29</f>
        <v>45262</v>
      </c>
      <c r="F32" s="108">
        <f>'RAW FS'!K29</f>
        <v>45262</v>
      </c>
      <c r="G32" s="108">
        <f>'RAW FS'!L29</f>
        <v>45692</v>
      </c>
      <c r="H32" s="108">
        <f>'RAW FS'!M29</f>
        <v>45692</v>
      </c>
      <c r="I32" s="108">
        <f>'RAW FS'!N29</f>
        <v>45692</v>
      </c>
    </row>
    <row r="33" spans="1:9" x14ac:dyDescent="0.3">
      <c r="B33" s="109" t="str">
        <f>'RAW FS'!B30</f>
        <v>Other fixed assets</v>
      </c>
      <c r="C33" s="109"/>
      <c r="D33" s="109"/>
      <c r="E33" s="109">
        <f>'RAW FS'!J30</f>
        <v>155</v>
      </c>
      <c r="F33" s="109">
        <f>'RAW FS'!K30</f>
        <v>152</v>
      </c>
      <c r="G33" s="109">
        <f>'RAW FS'!L30</f>
        <v>171</v>
      </c>
      <c r="H33" s="109">
        <f>'RAW FS'!M30</f>
        <v>180</v>
      </c>
      <c r="I33" s="109">
        <f>'RAW FS'!N30</f>
        <v>190</v>
      </c>
    </row>
    <row r="34" spans="1:9" ht="4.8" customHeight="1" x14ac:dyDescent="0.3">
      <c r="E34" s="117"/>
      <c r="F34" s="117"/>
      <c r="G34" s="117"/>
      <c r="H34" s="117"/>
      <c r="I34" s="117"/>
    </row>
    <row r="35" spans="1:9" x14ac:dyDescent="0.3">
      <c r="B35" s="115" t="str">
        <f>'RAW FS'!B31</f>
        <v>Gross Block</v>
      </c>
      <c r="C35" s="110"/>
      <c r="D35" s="110"/>
      <c r="E35" s="115">
        <f>SUM(E25:E33)</f>
        <v>54924</v>
      </c>
      <c r="F35" s="115">
        <f t="shared" ref="F35:I35" si="2">SUM(F25:F33)</f>
        <v>55578</v>
      </c>
      <c r="G35" s="115">
        <f t="shared" si="2"/>
        <v>57564</v>
      </c>
      <c r="H35" s="115">
        <f t="shared" si="2"/>
        <v>59451</v>
      </c>
      <c r="I35" s="115">
        <f t="shared" si="2"/>
        <v>60764</v>
      </c>
    </row>
    <row r="36" spans="1:9" x14ac:dyDescent="0.3">
      <c r="B36" t="str">
        <f>'RAW FS'!B32</f>
        <v>Accumulated Depreciation</v>
      </c>
      <c r="E36" s="116">
        <f>'RAW FS'!J32</f>
        <v>3481</v>
      </c>
      <c r="F36" s="116">
        <f>'RAW FS'!K32</f>
        <v>4105</v>
      </c>
      <c r="G36" s="116">
        <f>'RAW FS'!L32</f>
        <v>4886</v>
      </c>
      <c r="H36" s="116">
        <f>'RAW FS'!M32</f>
        <v>5707</v>
      </c>
      <c r="I36" s="116">
        <f>'RAW FS'!N32</f>
        <v>6429</v>
      </c>
    </row>
    <row r="37" spans="1:9" x14ac:dyDescent="0.3">
      <c r="B37" s="115" t="str">
        <f>'RAW FS'!B33</f>
        <v>Net Block</v>
      </c>
      <c r="C37" s="110"/>
      <c r="D37" s="110"/>
      <c r="E37" s="115">
        <f>SUM(E35:E36)</f>
        <v>58405</v>
      </c>
      <c r="F37" s="115">
        <f t="shared" ref="F37:I37" si="3">SUM(F35:F36)</f>
        <v>59683</v>
      </c>
      <c r="G37" s="115">
        <f t="shared" si="3"/>
        <v>62450</v>
      </c>
      <c r="H37" s="115">
        <f t="shared" si="3"/>
        <v>65158</v>
      </c>
      <c r="I37" s="115">
        <f t="shared" si="3"/>
        <v>67193</v>
      </c>
    </row>
    <row r="39" spans="1:9" x14ac:dyDescent="0.3">
      <c r="A39" t="s">
        <v>58</v>
      </c>
      <c r="B39" s="2" t="s">
        <v>271</v>
      </c>
      <c r="C39" s="2"/>
      <c r="D39" s="2"/>
      <c r="E39" s="119">
        <f>E37+E21</f>
        <v>51202</v>
      </c>
      <c r="F39" s="119">
        <f t="shared" ref="F39:I39" si="4">F37+F21</f>
        <v>53506</v>
      </c>
      <c r="G39" s="119">
        <f t="shared" si="4"/>
        <v>57499</v>
      </c>
      <c r="H39" s="119">
        <f t="shared" si="4"/>
        <v>58671</v>
      </c>
      <c r="I39" s="119">
        <f t="shared" si="4"/>
        <v>59296</v>
      </c>
    </row>
    <row r="40" spans="1:9" x14ac:dyDescent="0.3">
      <c r="B40" s="2" t="s">
        <v>272</v>
      </c>
      <c r="E40" s="2">
        <f>Historicals!H22-Historicals!H28</f>
        <v>10552</v>
      </c>
      <c r="F40" s="2">
        <f>Historicals!I22-Historicals!I28</f>
        <v>11766</v>
      </c>
      <c r="G40" s="2">
        <f>Historicals!J22-Historicals!J28</f>
        <v>13010</v>
      </c>
      <c r="H40" s="2">
        <f>Historicals!K22-Historicals!K28</f>
        <v>13443</v>
      </c>
      <c r="I40" s="2">
        <f>Historicals!L22-Historicals!L28</f>
        <v>13488</v>
      </c>
    </row>
    <row r="41" spans="1:9" x14ac:dyDescent="0.3">
      <c r="B41" s="2"/>
      <c r="E41" s="2"/>
      <c r="F41" s="2"/>
      <c r="G41" s="2"/>
      <c r="H41" s="2"/>
      <c r="I41" s="2"/>
    </row>
    <row r="42" spans="1:9" ht="15" thickBot="1" x14ac:dyDescent="0.35">
      <c r="A42" t="s">
        <v>58</v>
      </c>
      <c r="B42" s="120" t="s">
        <v>273</v>
      </c>
      <c r="C42" s="120"/>
      <c r="D42" s="120"/>
      <c r="E42" s="121">
        <f>E40/E39</f>
        <v>0.20608569977735244</v>
      </c>
      <c r="F42" s="121">
        <f t="shared" ref="F42:I42" si="5">F40/F39</f>
        <v>0.21990057189847867</v>
      </c>
      <c r="G42" s="121">
        <f t="shared" si="5"/>
        <v>0.22626480460529749</v>
      </c>
      <c r="H42" s="121">
        <f t="shared" si="5"/>
        <v>0.22912512143989364</v>
      </c>
      <c r="I42" s="121">
        <f t="shared" si="5"/>
        <v>0.22746896923907178</v>
      </c>
    </row>
    <row r="43" spans="1:9" ht="15" thickTop="1" x14ac:dyDescent="0.3"/>
    <row r="45" spans="1:9" x14ac:dyDescent="0.3">
      <c r="B45" s="10" t="s">
        <v>274</v>
      </c>
      <c r="C45" s="10"/>
      <c r="D45" s="10"/>
      <c r="E45" s="107">
        <f>'RAW FS'!J$4</f>
        <v>44256</v>
      </c>
      <c r="F45" s="107">
        <f>'RAW FS'!K$4</f>
        <v>44621</v>
      </c>
      <c r="G45" s="107">
        <f>'RAW FS'!L$4</f>
        <v>44986</v>
      </c>
      <c r="H45" s="107">
        <f>'RAW FS'!M$4</f>
        <v>45352</v>
      </c>
      <c r="I45" s="107">
        <f>'RAW FS'!N$4</f>
        <v>45717</v>
      </c>
    </row>
    <row r="47" spans="1:9" x14ac:dyDescent="0.3">
      <c r="B47" s="108" t="s">
        <v>275</v>
      </c>
      <c r="C47" s="108"/>
      <c r="D47" s="108"/>
      <c r="E47" s="108">
        <f>-1*SUM('Cash Flow Data'!J16:J17)</f>
        <v>4066</v>
      </c>
      <c r="F47" s="108">
        <f>-1*SUM('Cash Flow Data'!K16:K17)</f>
        <v>1053</v>
      </c>
      <c r="G47" s="108">
        <f>-1*SUM('Cash Flow Data'!L16:L17)</f>
        <v>1011</v>
      </c>
      <c r="H47" s="108">
        <f>-1*SUM('Cash Flow Data'!M16:M17)</f>
        <v>1457</v>
      </c>
      <c r="I47" s="108">
        <f>-1*SUM('Cash Flow Data'!N16:N17)</f>
        <v>1262</v>
      </c>
    </row>
    <row r="48" spans="1:9" x14ac:dyDescent="0.3">
      <c r="B48" s="108" t="s">
        <v>276</v>
      </c>
      <c r="C48" s="108"/>
      <c r="D48" s="108"/>
      <c r="E48" s="108"/>
      <c r="F48" s="108">
        <f>F21-E21</f>
        <v>1026</v>
      </c>
      <c r="G48" s="108">
        <f t="shared" ref="G48:I48" si="6">G21-F21</f>
        <v>1226</v>
      </c>
      <c r="H48" s="108">
        <f t="shared" si="6"/>
        <v>-1536</v>
      </c>
      <c r="I48" s="108">
        <f t="shared" si="6"/>
        <v>-1410</v>
      </c>
    </row>
    <row r="49" spans="1:9" x14ac:dyDescent="0.3">
      <c r="B49" s="108"/>
      <c r="C49" s="108"/>
      <c r="D49" s="108"/>
    </row>
    <row r="50" spans="1:9" x14ac:dyDescent="0.3">
      <c r="B50" s="108" t="s">
        <v>272</v>
      </c>
      <c r="C50" s="108"/>
      <c r="D50" s="108"/>
      <c r="E50" s="108">
        <f>E40</f>
        <v>10552</v>
      </c>
      <c r="F50" s="108">
        <f t="shared" ref="F50:I50" si="7">F40</f>
        <v>11766</v>
      </c>
      <c r="G50" s="108">
        <f t="shared" si="7"/>
        <v>13010</v>
      </c>
      <c r="H50" s="108">
        <f t="shared" si="7"/>
        <v>13443</v>
      </c>
      <c r="I50" s="108">
        <f t="shared" si="7"/>
        <v>13488</v>
      </c>
    </row>
    <row r="51" spans="1:9" x14ac:dyDescent="0.3">
      <c r="B51" s="108" t="s">
        <v>8</v>
      </c>
      <c r="C51" s="108"/>
      <c r="D51" s="108"/>
      <c r="E51" s="122">
        <v>0.25</v>
      </c>
      <c r="F51" s="122">
        <v>0.25</v>
      </c>
      <c r="G51" s="122">
        <v>0.25</v>
      </c>
      <c r="H51" s="122">
        <v>0.25</v>
      </c>
      <c r="I51" s="122">
        <v>0.25</v>
      </c>
    </row>
    <row r="52" spans="1:9" x14ac:dyDescent="0.3">
      <c r="B52" s="108" t="s">
        <v>277</v>
      </c>
      <c r="C52" s="108"/>
      <c r="D52" s="108"/>
      <c r="E52" s="108">
        <f>E50*(1-E51)</f>
        <v>7914</v>
      </c>
      <c r="F52" s="108">
        <f t="shared" ref="F52:I52" si="8">F50*(1-F51)</f>
        <v>8824.5</v>
      </c>
      <c r="G52" s="108">
        <f t="shared" si="8"/>
        <v>9757.5</v>
      </c>
      <c r="H52" s="108">
        <f t="shared" si="8"/>
        <v>10082.25</v>
      </c>
      <c r="I52" s="108">
        <f t="shared" si="8"/>
        <v>10116</v>
      </c>
    </row>
    <row r="53" spans="1:9" x14ac:dyDescent="0.3">
      <c r="B53" s="108"/>
      <c r="C53" s="108"/>
      <c r="D53" s="108"/>
    </row>
    <row r="54" spans="1:9" x14ac:dyDescent="0.3">
      <c r="B54" s="108" t="s">
        <v>278</v>
      </c>
      <c r="C54" s="108"/>
      <c r="D54" s="108"/>
      <c r="E54" s="108"/>
      <c r="F54" s="108">
        <f>SUM(F47:F48)</f>
        <v>2079</v>
      </c>
      <c r="G54" s="108">
        <f t="shared" ref="G54:I54" si="9">SUM(G47:G48)</f>
        <v>2237</v>
      </c>
      <c r="H54" s="108">
        <f t="shared" si="9"/>
        <v>-79</v>
      </c>
      <c r="I54" s="108">
        <f t="shared" si="9"/>
        <v>-148</v>
      </c>
    </row>
    <row r="55" spans="1:9" ht="4.8" customHeight="1" x14ac:dyDescent="0.3">
      <c r="F55" s="117"/>
      <c r="G55" s="117"/>
      <c r="H55" s="117"/>
      <c r="I55" s="117"/>
    </row>
    <row r="56" spans="1:9" ht="15" thickBot="1" x14ac:dyDescent="0.35">
      <c r="A56" t="s">
        <v>58</v>
      </c>
      <c r="B56" s="110" t="s">
        <v>279</v>
      </c>
      <c r="C56" s="110"/>
      <c r="D56" s="110"/>
      <c r="E56" s="118"/>
      <c r="F56" s="121">
        <f>F54/F52</f>
        <v>0.23559408465068843</v>
      </c>
      <c r="G56" s="121">
        <f t="shared" ref="G56:I56" si="10">G54/G52</f>
        <v>0.22925954394055856</v>
      </c>
      <c r="H56" s="121">
        <f t="shared" si="10"/>
        <v>-7.8355525800292598E-3</v>
      </c>
      <c r="I56" s="121">
        <f t="shared" si="10"/>
        <v>-1.4630288651640965E-2</v>
      </c>
    </row>
    <row r="57" spans="1:9" ht="15" thickTop="1" x14ac:dyDescent="0.3">
      <c r="B57" s="2"/>
      <c r="C57" s="2"/>
      <c r="D57" s="2"/>
      <c r="E57" s="126"/>
      <c r="F57" s="127"/>
      <c r="G57" s="127"/>
      <c r="H57" s="127"/>
      <c r="I57" s="127"/>
    </row>
    <row r="58" spans="1:9" x14ac:dyDescent="0.3">
      <c r="G58" s="123" t="s">
        <v>280</v>
      </c>
      <c r="H58" s="124"/>
      <c r="I58" s="125">
        <f>AVERAGE(F56:I56)</f>
        <v>0.1105969468398942</v>
      </c>
    </row>
    <row r="59" spans="1:9" x14ac:dyDescent="0.3">
      <c r="G59" s="123" t="s">
        <v>281</v>
      </c>
      <c r="H59" s="124"/>
      <c r="I59" s="125">
        <f>MEDIAN(F56:I56)</f>
        <v>0.11071199568026466</v>
      </c>
    </row>
    <row r="62" spans="1:9" x14ac:dyDescent="0.3">
      <c r="B62" s="10" t="s">
        <v>282</v>
      </c>
      <c r="C62" s="10"/>
      <c r="D62" s="10"/>
      <c r="E62" s="107">
        <f>'RAW FS'!J$4</f>
        <v>44256</v>
      </c>
      <c r="F62" s="107">
        <f>'RAW FS'!K$4</f>
        <v>44621</v>
      </c>
      <c r="G62" s="107">
        <f>'RAW FS'!L$4</f>
        <v>44986</v>
      </c>
      <c r="H62" s="107">
        <f>'RAW FS'!M$4</f>
        <v>45352</v>
      </c>
      <c r="I62" s="107">
        <f>'RAW FS'!N$4</f>
        <v>45717</v>
      </c>
    </row>
    <row r="64" spans="1:9" x14ac:dyDescent="0.3">
      <c r="B64" t="s">
        <v>279</v>
      </c>
      <c r="F64" s="4">
        <f>F56</f>
        <v>0.23559408465068843</v>
      </c>
      <c r="G64" s="4">
        <f t="shared" ref="G64:I64" si="11">G56</f>
        <v>0.22925954394055856</v>
      </c>
      <c r="H64" s="4">
        <f t="shared" si="11"/>
        <v>-7.8355525800292598E-3</v>
      </c>
      <c r="I64" s="4">
        <f t="shared" si="11"/>
        <v>-1.4630288651640965E-2</v>
      </c>
    </row>
    <row r="65" spans="1:9" x14ac:dyDescent="0.3">
      <c r="B65" t="s">
        <v>273</v>
      </c>
      <c r="F65" s="4">
        <f>F42</f>
        <v>0.21990057189847867</v>
      </c>
      <c r="G65" s="4">
        <f t="shared" ref="G65:I65" si="12">G42</f>
        <v>0.22626480460529749</v>
      </c>
      <c r="H65" s="4">
        <f t="shared" si="12"/>
        <v>0.22912512143989364</v>
      </c>
      <c r="I65" s="4">
        <f t="shared" si="12"/>
        <v>0.22746896923907178</v>
      </c>
    </row>
    <row r="66" spans="1:9" ht="15" thickBot="1" x14ac:dyDescent="0.35">
      <c r="A66" t="s">
        <v>58</v>
      </c>
      <c r="B66" s="110" t="s">
        <v>283</v>
      </c>
      <c r="C66" s="110"/>
      <c r="D66" s="110"/>
      <c r="E66" s="118"/>
      <c r="F66" s="121">
        <f>F64*F65</f>
        <v>5.180727395058498E-2</v>
      </c>
      <c r="G66" s="121">
        <f t="shared" ref="G66:I66" si="13">G64*G65</f>
        <v>5.1873365913610095E-2</v>
      </c>
      <c r="H66" s="121">
        <f t="shared" si="13"/>
        <v>-1.795321936447876E-3</v>
      </c>
      <c r="I66" s="121">
        <f t="shared" si="13"/>
        <v>-3.3279366792588598E-3</v>
      </c>
    </row>
    <row r="67" spans="1:9" ht="15" thickTop="1" x14ac:dyDescent="0.3"/>
    <row r="68" spans="1:9" x14ac:dyDescent="0.3">
      <c r="G68" s="123" t="s">
        <v>280</v>
      </c>
      <c r="H68" s="124"/>
      <c r="I68" s="125">
        <f>AVERAGE(F66:I66)</f>
        <v>2.4639345312122082E-2</v>
      </c>
    </row>
    <row r="69" spans="1:9" x14ac:dyDescent="0.3">
      <c r="G69" s="123" t="s">
        <v>281</v>
      </c>
      <c r="H69" s="124"/>
      <c r="I69" s="125">
        <f>MEDIAN(F66:I66)</f>
        <v>2.500597600706855E-2</v>
      </c>
    </row>
  </sheetData>
  <mergeCells count="1">
    <mergeCell ref="B1:G3"/>
  </mergeCells>
  <pageMargins left="0.25" right="0.25" top="0.75" bottom="0.75" header="0.3" footer="0.3"/>
  <pageSetup scale="69" orientation="portrait" r:id="rId1"/>
  <ignoredErrors>
    <ignoredError sqref="E47:I47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003-907F-48B9-A991-C780742D8C2C}">
  <sheetPr>
    <tabColor rgb="FF1F4E78"/>
  </sheetPr>
  <dimension ref="A1"/>
  <sheetViews>
    <sheetView workbookViewId="0">
      <selection activeCell="C3" sqref="C3"/>
    </sheetView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C5F6-B544-480C-9FAC-782F34E274A8}">
  <sheetPr>
    <pageSetUpPr fitToPage="1"/>
  </sheetPr>
  <dimension ref="A2:M117"/>
  <sheetViews>
    <sheetView showGridLines="0" zoomScale="86" zoomScaleNormal="86" workbookViewId="0">
      <pane xSplit="2" ySplit="7" topLeftCell="C96" activePane="bottomRight" state="frozen"/>
      <selection pane="topRight" activeCell="C1" sqref="C1"/>
      <selection pane="bottomLeft" activeCell="A3" sqref="A3"/>
      <selection pane="bottomRight" activeCell="B5" sqref="B2:M117"/>
    </sheetView>
  </sheetViews>
  <sheetFormatPr defaultRowHeight="14.4" x14ac:dyDescent="0.3"/>
  <cols>
    <col min="1" max="1" width="2.77734375" customWidth="1"/>
    <col min="2" max="2" width="31.77734375" bestFit="1" customWidth="1"/>
    <col min="3" max="14" width="15.77734375" customWidth="1"/>
  </cols>
  <sheetData>
    <row r="2" spans="1:13" ht="14.4" customHeight="1" x14ac:dyDescent="0.3">
      <c r="B2" s="180" t="s">
        <v>399</v>
      </c>
      <c r="C2" s="180"/>
      <c r="D2" s="180"/>
      <c r="E2" s="180"/>
      <c r="F2" s="180"/>
      <c r="G2" s="180"/>
      <c r="H2" s="175"/>
      <c r="I2" s="175"/>
      <c r="J2" s="175"/>
      <c r="K2" s="175"/>
      <c r="L2" s="176"/>
      <c r="M2" s="175"/>
    </row>
    <row r="3" spans="1:13" ht="14.4" customHeight="1" x14ac:dyDescent="0.3">
      <c r="B3" s="180"/>
      <c r="C3" s="180"/>
      <c r="D3" s="180"/>
      <c r="E3" s="180"/>
      <c r="F3" s="180"/>
      <c r="G3" s="180"/>
      <c r="H3" s="175"/>
      <c r="I3" s="175"/>
      <c r="J3" s="175"/>
      <c r="K3" s="175"/>
      <c r="L3" s="176"/>
      <c r="M3" s="175"/>
    </row>
    <row r="4" spans="1:13" ht="14.4" customHeight="1" x14ac:dyDescent="0.3">
      <c r="B4" s="180"/>
      <c r="C4" s="180"/>
      <c r="D4" s="180"/>
      <c r="E4" s="180"/>
      <c r="F4" s="180"/>
      <c r="G4" s="180"/>
      <c r="H4" s="175"/>
      <c r="I4" s="175"/>
      <c r="J4" s="175"/>
      <c r="K4" s="175"/>
      <c r="L4" s="176"/>
      <c r="M4" s="175"/>
    </row>
    <row r="6" spans="1:13" x14ac:dyDescent="0.3">
      <c r="B6" s="182" t="str">
        <f>"Historical Financial Statement " &amp;'Data Sheet'!B1</f>
        <v>Historical Financial Statement HINDUSTAN UNILEVER LTD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</row>
    <row r="7" spans="1:13" x14ac:dyDescent="0.3">
      <c r="B7" s="10" t="s">
        <v>56</v>
      </c>
      <c r="C7" s="11">
        <f>'Data Sheet'!B16</f>
        <v>42460</v>
      </c>
      <c r="D7" s="11">
        <f>'Data Sheet'!C16</f>
        <v>42825</v>
      </c>
      <c r="E7" s="11">
        <f>'Data Sheet'!D16</f>
        <v>43190</v>
      </c>
      <c r="F7" s="11">
        <f>'Data Sheet'!E16</f>
        <v>43555</v>
      </c>
      <c r="G7" s="11">
        <f>'Data Sheet'!F16</f>
        <v>43921</v>
      </c>
      <c r="H7" s="11">
        <f>'Data Sheet'!G16</f>
        <v>44286</v>
      </c>
      <c r="I7" s="11">
        <f>'Data Sheet'!H16</f>
        <v>44651</v>
      </c>
      <c r="J7" s="11">
        <f>'Data Sheet'!I16</f>
        <v>45016</v>
      </c>
      <c r="K7" s="11">
        <f>'Data Sheet'!J16</f>
        <v>45382</v>
      </c>
      <c r="L7" s="11">
        <f>'Data Sheet'!K16</f>
        <v>45747</v>
      </c>
      <c r="M7" s="16" t="s">
        <v>107</v>
      </c>
    </row>
    <row r="9" spans="1:13" x14ac:dyDescent="0.3">
      <c r="A9" t="s">
        <v>58</v>
      </c>
      <c r="B9" s="19" t="s">
        <v>57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x14ac:dyDescent="0.3">
      <c r="B10" t="s">
        <v>1</v>
      </c>
      <c r="C10" s="18">
        <f>IFERROR('Data Sheet'!B17,0)</f>
        <v>32186</v>
      </c>
      <c r="D10" s="18">
        <f>IFERROR('Data Sheet'!C17,0)</f>
        <v>33162</v>
      </c>
      <c r="E10" s="18">
        <f>IFERROR('Data Sheet'!D17,0)</f>
        <v>35545</v>
      </c>
      <c r="F10" s="18">
        <f>IFERROR('Data Sheet'!E17,0)</f>
        <v>39310</v>
      </c>
      <c r="G10" s="18">
        <f>IFERROR('Data Sheet'!F17,0)</f>
        <v>39783</v>
      </c>
      <c r="H10" s="18">
        <f>IFERROR('Data Sheet'!G17,0)</f>
        <v>47028</v>
      </c>
      <c r="I10" s="18">
        <f>IFERROR('Data Sheet'!H17,0)</f>
        <v>52446</v>
      </c>
      <c r="J10" s="18">
        <f>IFERROR('Data Sheet'!I17,0)</f>
        <v>60580</v>
      </c>
      <c r="K10" s="18">
        <f>IFERROR('Data Sheet'!J17,0)</f>
        <v>61896</v>
      </c>
      <c r="L10" s="18">
        <f>IFERROR('Data Sheet'!K17,0)</f>
        <v>63121</v>
      </c>
      <c r="M10" s="18">
        <f>IFERROR(SUM('Data Sheet'!H42:K42),0)</f>
        <v>64544</v>
      </c>
    </row>
    <row r="11" spans="1:13" x14ac:dyDescent="0.3">
      <c r="B11" s="14" t="s">
        <v>10</v>
      </c>
      <c r="C11" s="14"/>
      <c r="D11" s="15">
        <f>IFERROR((D10/C10-1),0)</f>
        <v>3.03237432424035E-2</v>
      </c>
      <c r="E11" s="15">
        <f t="shared" ref="E11:M11" si="0">IFERROR((E10/D10-1),0)</f>
        <v>7.1859357095470644E-2</v>
      </c>
      <c r="F11" s="15">
        <f t="shared" si="0"/>
        <v>0.1059220706147137</v>
      </c>
      <c r="G11" s="15">
        <f t="shared" si="0"/>
        <v>1.2032561689137689E-2</v>
      </c>
      <c r="H11" s="15">
        <f t="shared" si="0"/>
        <v>0.18211296282331646</v>
      </c>
      <c r="I11" s="15">
        <f t="shared" si="0"/>
        <v>0.11520796121459553</v>
      </c>
      <c r="J11" s="15">
        <f t="shared" si="0"/>
        <v>0.15509285741524614</v>
      </c>
      <c r="K11" s="15">
        <f t="shared" si="0"/>
        <v>2.1723341036645749E-2</v>
      </c>
      <c r="L11" s="15">
        <f t="shared" si="0"/>
        <v>1.9791262763344974E-2</v>
      </c>
      <c r="M11" s="15">
        <f t="shared" si="0"/>
        <v>2.2544002788295492E-2</v>
      </c>
    </row>
    <row r="13" spans="1:13" x14ac:dyDescent="0.3">
      <c r="B13" t="s">
        <v>59</v>
      </c>
      <c r="C13" s="18">
        <f>IFERROR(SUM('Data Sheet'!B18,'Data Sheet'!B20:B22,-1*('Data Sheet'!B19)),0)</f>
        <v>18222</v>
      </c>
      <c r="D13" s="18">
        <f>IFERROR(SUM('Data Sheet'!C18,'Data Sheet'!C20:C22,-1*('Data Sheet'!C19)),0)</f>
        <v>18675</v>
      </c>
      <c r="E13" s="18">
        <f>IFERROR(SUM('Data Sheet'!D18,'Data Sheet'!D20:D22,-1*('Data Sheet'!D19)),0)</f>
        <v>19314</v>
      </c>
      <c r="F13" s="18">
        <f>IFERROR(SUM('Data Sheet'!E18,'Data Sheet'!E20:E22,-1*('Data Sheet'!E19)),0)</f>
        <v>21081</v>
      </c>
      <c r="G13" s="18">
        <f>IFERROR(SUM('Data Sheet'!F18,'Data Sheet'!F20:F22,-1*('Data Sheet'!F19)),0)</f>
        <v>20614</v>
      </c>
      <c r="H13" s="18">
        <f>IFERROR(SUM('Data Sheet'!G18,'Data Sheet'!G20:G22,-1*('Data Sheet'!G19)),0)</f>
        <v>25301</v>
      </c>
      <c r="I13" s="18">
        <f>IFERROR(SUM('Data Sheet'!H18,'Data Sheet'!H20:H22,-1*('Data Sheet'!H19)),0)</f>
        <v>29066</v>
      </c>
      <c r="J13" s="18">
        <f>IFERROR(SUM('Data Sheet'!I18,'Data Sheet'!I20:I22,-1*('Data Sheet'!I19)),0)</f>
        <v>35381</v>
      </c>
      <c r="K13" s="18">
        <f>IFERROR(SUM('Data Sheet'!J18,'Data Sheet'!J20:J22,-1*('Data Sheet'!J19)),0)</f>
        <v>33651</v>
      </c>
      <c r="L13" s="18">
        <f>IFERROR(SUM('Data Sheet'!K18,'Data Sheet'!K20:K22,-1*('Data Sheet'!K19)),0)</f>
        <v>34529</v>
      </c>
      <c r="M13" s="18">
        <f>IFERROR(SUM('Data Sheet'!L18,'Data Sheet'!L20:L22,-1*('Data Sheet'!L19)),0)</f>
        <v>0</v>
      </c>
    </row>
    <row r="14" spans="1:13" x14ac:dyDescent="0.3">
      <c r="B14" s="15" t="s">
        <v>60</v>
      </c>
      <c r="C14" s="15">
        <f>IFERROR(C13/C10,0)</f>
        <v>0.56614677188839868</v>
      </c>
      <c r="D14" s="15">
        <f t="shared" ref="D14:M14" si="1">IFERROR(D13/D10,0)</f>
        <v>0.5631445630540981</v>
      </c>
      <c r="E14" s="15">
        <f t="shared" si="1"/>
        <v>0.54336756224504146</v>
      </c>
      <c r="F14" s="15">
        <f t="shared" si="1"/>
        <v>0.53627575680488426</v>
      </c>
      <c r="G14" s="15">
        <f t="shared" si="1"/>
        <v>0.51816102355277383</v>
      </c>
      <c r="H14" s="15">
        <f t="shared" si="1"/>
        <v>0.53799863910861612</v>
      </c>
      <c r="I14" s="15">
        <f t="shared" si="1"/>
        <v>0.55420813789421497</v>
      </c>
      <c r="J14" s="15">
        <f t="shared" si="1"/>
        <v>0.58403763618355897</v>
      </c>
      <c r="K14" s="15">
        <f t="shared" si="1"/>
        <v>0.54367002714230317</v>
      </c>
      <c r="L14" s="15">
        <f t="shared" si="1"/>
        <v>0.54702872261212587</v>
      </c>
      <c r="M14" s="15">
        <f t="shared" si="1"/>
        <v>0</v>
      </c>
    </row>
    <row r="16" spans="1:13" x14ac:dyDescent="0.3">
      <c r="B16" s="25" t="s">
        <v>61</v>
      </c>
      <c r="C16" s="26">
        <f>IFERROR(C10-C13,0)</f>
        <v>13964</v>
      </c>
      <c r="D16" s="26">
        <f t="shared" ref="D16:M16" si="2">IFERROR(D10-D13,0)</f>
        <v>14487</v>
      </c>
      <c r="E16" s="26">
        <f t="shared" si="2"/>
        <v>16231</v>
      </c>
      <c r="F16" s="26">
        <f t="shared" si="2"/>
        <v>18229</v>
      </c>
      <c r="G16" s="26">
        <f t="shared" si="2"/>
        <v>19169</v>
      </c>
      <c r="H16" s="26">
        <f t="shared" si="2"/>
        <v>21727</v>
      </c>
      <c r="I16" s="26">
        <f t="shared" si="2"/>
        <v>23380</v>
      </c>
      <c r="J16" s="26">
        <f t="shared" si="2"/>
        <v>25199</v>
      </c>
      <c r="K16" s="26">
        <f t="shared" si="2"/>
        <v>28245</v>
      </c>
      <c r="L16" s="26">
        <f t="shared" si="2"/>
        <v>28592</v>
      </c>
      <c r="M16" s="26">
        <f t="shared" si="2"/>
        <v>64544</v>
      </c>
    </row>
    <row r="17" spans="2:13" x14ac:dyDescent="0.3">
      <c r="B17" s="15" t="s">
        <v>63</v>
      </c>
      <c r="C17" s="15">
        <f>C16/C10</f>
        <v>0.43385322811160132</v>
      </c>
      <c r="D17" s="15">
        <f t="shared" ref="D17:M17" si="3">D16/D10</f>
        <v>0.43685543694590195</v>
      </c>
      <c r="E17" s="15">
        <f t="shared" si="3"/>
        <v>0.45663243775495849</v>
      </c>
      <c r="F17" s="15">
        <f t="shared" si="3"/>
        <v>0.46372424319511574</v>
      </c>
      <c r="G17" s="15">
        <f t="shared" si="3"/>
        <v>0.48183897644722617</v>
      </c>
      <c r="H17" s="15">
        <f t="shared" si="3"/>
        <v>0.46200136089138388</v>
      </c>
      <c r="I17" s="15">
        <f t="shared" si="3"/>
        <v>0.44579186210578498</v>
      </c>
      <c r="J17" s="15">
        <f t="shared" si="3"/>
        <v>0.41596236381644108</v>
      </c>
      <c r="K17" s="15">
        <f t="shared" si="3"/>
        <v>0.45632997285769678</v>
      </c>
      <c r="L17" s="15">
        <f t="shared" si="3"/>
        <v>0.45297127738787407</v>
      </c>
      <c r="M17" s="15">
        <f t="shared" si="3"/>
        <v>1</v>
      </c>
    </row>
    <row r="19" spans="2:13" x14ac:dyDescent="0.3">
      <c r="B19" t="s">
        <v>62</v>
      </c>
      <c r="C19" s="13">
        <f>IFERROR(SUM('Data Sheet'!B23:B24),0)</f>
        <v>8054</v>
      </c>
      <c r="D19" s="13">
        <f>IFERROR(SUM('Data Sheet'!C23:C24),0)</f>
        <v>8159</v>
      </c>
      <c r="E19" s="13">
        <f>IFERROR(SUM('Data Sheet'!D23:D24),0)</f>
        <v>8732</v>
      </c>
      <c r="F19" s="13">
        <f>IFERROR(SUM('Data Sheet'!E23:E24),0)</f>
        <v>9349</v>
      </c>
      <c r="G19" s="13">
        <f>IFERROR(SUM('Data Sheet'!F23:F24),0)</f>
        <v>9308</v>
      </c>
      <c r="H19" s="13">
        <f>IFERROR(SUM('Data Sheet'!G23:G24),0)</f>
        <v>10101</v>
      </c>
      <c r="I19" s="13">
        <f>IFERROR(SUM('Data Sheet'!H23:H24),0)</f>
        <v>10523</v>
      </c>
      <c r="J19" s="13">
        <f>IFERROR(SUM('Data Sheet'!I23:I24),0)</f>
        <v>11052</v>
      </c>
      <c r="K19" s="13">
        <f>IFERROR(SUM('Data Sheet'!J23:J24),0)</f>
        <v>13586</v>
      </c>
      <c r="L19" s="13">
        <f>IFERROR(SUM('Data Sheet'!K23:K24),0)</f>
        <v>13749</v>
      </c>
      <c r="M19" s="13">
        <f>IFERROR(SUM('Data Sheet'!L23:L24),0)</f>
        <v>0</v>
      </c>
    </row>
    <row r="20" spans="2:13" x14ac:dyDescent="0.3">
      <c r="B20" s="15" t="s">
        <v>64</v>
      </c>
      <c r="C20" s="15">
        <f>C19/C10</f>
        <v>0.25023302056794877</v>
      </c>
      <c r="D20" s="15">
        <f t="shared" ref="D20:M20" si="4">D19/D10</f>
        <v>0.24603461793619202</v>
      </c>
      <c r="E20" s="15">
        <f t="shared" si="4"/>
        <v>0.24566043044028696</v>
      </c>
      <c r="F20" s="15">
        <f t="shared" si="4"/>
        <v>0.23782752480284916</v>
      </c>
      <c r="G20" s="15">
        <f t="shared" si="4"/>
        <v>0.23396928336224015</v>
      </c>
      <c r="H20" s="15">
        <f t="shared" si="4"/>
        <v>0.21478693544271499</v>
      </c>
      <c r="I20" s="15">
        <f t="shared" si="4"/>
        <v>0.20064447240971667</v>
      </c>
      <c r="J20" s="15">
        <f t="shared" si="4"/>
        <v>0.18243644767249917</v>
      </c>
      <c r="K20" s="15">
        <f t="shared" si="4"/>
        <v>0.21949722114514669</v>
      </c>
      <c r="L20" s="15">
        <f t="shared" si="4"/>
        <v>0.21781974303322191</v>
      </c>
      <c r="M20" s="15">
        <f t="shared" si="4"/>
        <v>0</v>
      </c>
    </row>
    <row r="22" spans="2:13" x14ac:dyDescent="0.3">
      <c r="B22" s="26" t="s">
        <v>65</v>
      </c>
      <c r="C22" s="26">
        <f>IFERROR(C16-C19,0)</f>
        <v>5910</v>
      </c>
      <c r="D22" s="26">
        <f t="shared" ref="D22:M22" si="5">IFERROR(D16-D19,0)</f>
        <v>6328</v>
      </c>
      <c r="E22" s="26">
        <f t="shared" si="5"/>
        <v>7499</v>
      </c>
      <c r="F22" s="26">
        <f t="shared" si="5"/>
        <v>8880</v>
      </c>
      <c r="G22" s="26">
        <f t="shared" si="5"/>
        <v>9861</v>
      </c>
      <c r="H22" s="26">
        <f t="shared" si="5"/>
        <v>11626</v>
      </c>
      <c r="I22" s="26">
        <f t="shared" si="5"/>
        <v>12857</v>
      </c>
      <c r="J22" s="26">
        <f t="shared" si="5"/>
        <v>14147</v>
      </c>
      <c r="K22" s="26">
        <f t="shared" si="5"/>
        <v>14659</v>
      </c>
      <c r="L22" s="26">
        <f t="shared" si="5"/>
        <v>14843</v>
      </c>
      <c r="M22" s="26">
        <f t="shared" si="5"/>
        <v>64544</v>
      </c>
    </row>
    <row r="23" spans="2:13" x14ac:dyDescent="0.3">
      <c r="B23" s="15" t="s">
        <v>66</v>
      </c>
      <c r="C23" s="15">
        <f>C22/C10</f>
        <v>0.18362020754365252</v>
      </c>
      <c r="D23" s="15">
        <f t="shared" ref="D23:M23" si="6">D22/D10</f>
        <v>0.1908208190097099</v>
      </c>
      <c r="E23" s="15">
        <f t="shared" si="6"/>
        <v>0.21097200731467156</v>
      </c>
      <c r="F23" s="15">
        <f t="shared" si="6"/>
        <v>0.2258967183922666</v>
      </c>
      <c r="G23" s="15">
        <f t="shared" si="6"/>
        <v>0.24786969308498605</v>
      </c>
      <c r="H23" s="15">
        <f t="shared" si="6"/>
        <v>0.24721442544866887</v>
      </c>
      <c r="I23" s="15">
        <f t="shared" si="6"/>
        <v>0.24514738969606834</v>
      </c>
      <c r="J23" s="15">
        <f t="shared" si="6"/>
        <v>0.23352591614394189</v>
      </c>
      <c r="K23" s="15">
        <f t="shared" si="6"/>
        <v>0.23683275171255008</v>
      </c>
      <c r="L23" s="15">
        <f t="shared" si="6"/>
        <v>0.23515153435465216</v>
      </c>
      <c r="M23" s="15">
        <f t="shared" si="6"/>
        <v>1</v>
      </c>
    </row>
    <row r="25" spans="2:13" x14ac:dyDescent="0.3">
      <c r="B25" s="13" t="s">
        <v>67</v>
      </c>
      <c r="C25" s="13">
        <f>IFERROR('Data Sheet'!B27,0)</f>
        <v>17</v>
      </c>
      <c r="D25" s="13">
        <f>IFERROR('Data Sheet'!C27,0)</f>
        <v>35</v>
      </c>
      <c r="E25" s="13">
        <f>IFERROR('Data Sheet'!D27,0)</f>
        <v>26</v>
      </c>
      <c r="F25" s="13">
        <f>IFERROR('Data Sheet'!E27,0)</f>
        <v>33</v>
      </c>
      <c r="G25" s="13">
        <f>IFERROR('Data Sheet'!F27,0)</f>
        <v>118</v>
      </c>
      <c r="H25" s="13">
        <f>IFERROR('Data Sheet'!G27,0)</f>
        <v>117</v>
      </c>
      <c r="I25" s="13">
        <f>IFERROR('Data Sheet'!H27,0)</f>
        <v>106</v>
      </c>
      <c r="J25" s="13">
        <f>IFERROR('Data Sheet'!I27,0)</f>
        <v>114</v>
      </c>
      <c r="K25" s="13">
        <f>IFERROR('Data Sheet'!J27,0)</f>
        <v>334</v>
      </c>
      <c r="L25" s="13">
        <f>IFERROR('Data Sheet'!K27,0)</f>
        <v>395</v>
      </c>
      <c r="M25" s="13">
        <f>IFERROR(SUM('Data Sheet'!H46:K46),0)</f>
        <v>419</v>
      </c>
    </row>
    <row r="26" spans="2:13" x14ac:dyDescent="0.3">
      <c r="B26" s="15" t="s">
        <v>68</v>
      </c>
      <c r="C26" s="15">
        <f>C25/C10</f>
        <v>5.2817995401727462E-4</v>
      </c>
      <c r="D26" s="15">
        <f t="shared" ref="D26:M26" si="7">D25/D10</f>
        <v>1.0554248839032628E-3</v>
      </c>
      <c r="E26" s="15">
        <f t="shared" si="7"/>
        <v>7.3146715431143621E-4</v>
      </c>
      <c r="F26" s="15">
        <f t="shared" si="7"/>
        <v>8.3948104807936915E-4</v>
      </c>
      <c r="G26" s="15">
        <f t="shared" si="7"/>
        <v>2.9660910439132291E-3</v>
      </c>
      <c r="H26" s="15">
        <f t="shared" si="7"/>
        <v>2.4878795611125285E-3</v>
      </c>
      <c r="I26" s="15">
        <f t="shared" si="7"/>
        <v>2.0211264920108303E-3</v>
      </c>
      <c r="J26" s="15">
        <f t="shared" si="7"/>
        <v>1.881809177946517E-3</v>
      </c>
      <c r="K26" s="15">
        <f t="shared" si="7"/>
        <v>5.3961483779242604E-3</v>
      </c>
      <c r="L26" s="15">
        <f t="shared" si="7"/>
        <v>6.2578222778473091E-3</v>
      </c>
      <c r="M26" s="15">
        <f t="shared" si="7"/>
        <v>6.4916955875061969E-3</v>
      </c>
    </row>
    <row r="28" spans="2:13" x14ac:dyDescent="0.3">
      <c r="B28" t="s">
        <v>69</v>
      </c>
      <c r="C28" s="13">
        <f>IFERROR('Data Sheet'!B26,0)</f>
        <v>353</v>
      </c>
      <c r="D28" s="13">
        <f>IFERROR('Data Sheet'!C26,0)</f>
        <v>432</v>
      </c>
      <c r="E28" s="13">
        <f>IFERROR('Data Sheet'!D26,0)</f>
        <v>520</v>
      </c>
      <c r="F28" s="13">
        <f>IFERROR('Data Sheet'!E26,0)</f>
        <v>565</v>
      </c>
      <c r="G28" s="13">
        <f>IFERROR('Data Sheet'!F26,0)</f>
        <v>1002</v>
      </c>
      <c r="H28" s="13">
        <f>IFERROR('Data Sheet'!G26,0)</f>
        <v>1074</v>
      </c>
      <c r="I28" s="13">
        <f>IFERROR('Data Sheet'!H26,0)</f>
        <v>1091</v>
      </c>
      <c r="J28" s="13">
        <f>IFERROR('Data Sheet'!I26,0)</f>
        <v>1137</v>
      </c>
      <c r="K28" s="13">
        <f>IFERROR('Data Sheet'!J26,0)</f>
        <v>1216</v>
      </c>
      <c r="L28" s="13">
        <f>IFERROR('Data Sheet'!K26,0)</f>
        <v>1355</v>
      </c>
      <c r="M28" s="13">
        <f>IFERROR(SUM('Data Sheet'!H45:K45),0)</f>
        <v>1367</v>
      </c>
    </row>
    <row r="29" spans="2:13" x14ac:dyDescent="0.3">
      <c r="B29" s="15" t="s">
        <v>70</v>
      </c>
      <c r="C29" s="15">
        <f>C28/C10</f>
        <v>1.0967501398123409E-2</v>
      </c>
      <c r="D29" s="15">
        <f t="shared" ref="D29:M29" si="8">D28/D10</f>
        <v>1.3026958567034558E-2</v>
      </c>
      <c r="E29" s="15">
        <f t="shared" si="8"/>
        <v>1.4629343086228723E-2</v>
      </c>
      <c r="F29" s="15">
        <f t="shared" si="8"/>
        <v>1.437293309590435E-2</v>
      </c>
      <c r="G29" s="15">
        <f t="shared" si="8"/>
        <v>2.5186637508483524E-2</v>
      </c>
      <c r="H29" s="15">
        <f t="shared" si="8"/>
        <v>2.2837458535340648E-2</v>
      </c>
      <c r="I29" s="15">
        <f t="shared" si="8"/>
        <v>2.0802349082866187E-2</v>
      </c>
      <c r="J29" s="15">
        <f t="shared" si="8"/>
        <v>1.8768570485308684E-2</v>
      </c>
      <c r="K29" s="15">
        <f t="shared" si="8"/>
        <v>1.9645857567532635E-2</v>
      </c>
      <c r="L29" s="15">
        <f t="shared" si="8"/>
        <v>2.1466706801223048E-2</v>
      </c>
      <c r="M29" s="15">
        <f t="shared" si="8"/>
        <v>2.117935052057511E-2</v>
      </c>
    </row>
    <row r="31" spans="2:13" x14ac:dyDescent="0.3">
      <c r="B31" s="25" t="s">
        <v>71</v>
      </c>
      <c r="C31" s="26">
        <f>IFERROR(C22-SUM(C25,C28),0)</f>
        <v>5540</v>
      </c>
      <c r="D31" s="26">
        <f t="shared" ref="D31:M31" si="9">IFERROR(D22-SUM(D25,D28),0)</f>
        <v>5861</v>
      </c>
      <c r="E31" s="26">
        <f t="shared" si="9"/>
        <v>6953</v>
      </c>
      <c r="F31" s="26">
        <f t="shared" si="9"/>
        <v>8282</v>
      </c>
      <c r="G31" s="26">
        <f t="shared" si="9"/>
        <v>8741</v>
      </c>
      <c r="H31" s="26">
        <f t="shared" si="9"/>
        <v>10435</v>
      </c>
      <c r="I31" s="26">
        <f t="shared" si="9"/>
        <v>11660</v>
      </c>
      <c r="J31" s="26">
        <f t="shared" si="9"/>
        <v>12896</v>
      </c>
      <c r="K31" s="26">
        <f t="shared" si="9"/>
        <v>13109</v>
      </c>
      <c r="L31" s="26">
        <f t="shared" si="9"/>
        <v>13093</v>
      </c>
      <c r="M31" s="26">
        <f t="shared" si="9"/>
        <v>62758</v>
      </c>
    </row>
    <row r="32" spans="2:13" x14ac:dyDescent="0.3">
      <c r="B32" s="15" t="s">
        <v>72</v>
      </c>
      <c r="C32" s="15">
        <f>C31/C10</f>
        <v>0.17212452619151183</v>
      </c>
      <c r="D32" s="15">
        <f t="shared" ref="D32:M32" si="10">D31/D10</f>
        <v>0.17673843555877208</v>
      </c>
      <c r="E32" s="15">
        <f t="shared" si="10"/>
        <v>0.19561119707413138</v>
      </c>
      <c r="F32" s="15">
        <f t="shared" si="10"/>
        <v>0.21068430424828288</v>
      </c>
      <c r="G32" s="15">
        <f t="shared" si="10"/>
        <v>0.21971696453258929</v>
      </c>
      <c r="H32" s="15">
        <f t="shared" si="10"/>
        <v>0.22188908735221571</v>
      </c>
      <c r="I32" s="15">
        <f t="shared" si="10"/>
        <v>0.22232391412119132</v>
      </c>
      <c r="J32" s="15">
        <f t="shared" si="10"/>
        <v>0.21287553648068669</v>
      </c>
      <c r="K32" s="15">
        <f t="shared" si="10"/>
        <v>0.2117907457670932</v>
      </c>
      <c r="L32" s="15">
        <f t="shared" si="10"/>
        <v>0.20742700527558183</v>
      </c>
      <c r="M32" s="15">
        <f t="shared" si="10"/>
        <v>0.97232895389191865</v>
      </c>
    </row>
    <row r="34" spans="2:13" x14ac:dyDescent="0.3">
      <c r="B34" t="s">
        <v>73</v>
      </c>
      <c r="C34" s="13">
        <f>IFERROR('Data Sheet'!B29,0)</f>
        <v>1875</v>
      </c>
      <c r="D34" s="13">
        <f>IFERROR('Data Sheet'!C29,0)</f>
        <v>1977</v>
      </c>
      <c r="E34" s="13">
        <f>IFERROR('Data Sheet'!D29,0)</f>
        <v>2079</v>
      </c>
      <c r="F34" s="13">
        <f>IFERROR('Data Sheet'!E29,0)</f>
        <v>2544</v>
      </c>
      <c r="G34" s="13">
        <f>IFERROR('Data Sheet'!F29,0)</f>
        <v>2409</v>
      </c>
      <c r="H34" s="13">
        <f>IFERROR('Data Sheet'!G29,0)</f>
        <v>2606</v>
      </c>
      <c r="I34" s="13">
        <f>IFERROR('Data Sheet'!H29,0)</f>
        <v>2987</v>
      </c>
      <c r="J34" s="13">
        <f>IFERROR('Data Sheet'!I29,0)</f>
        <v>3201</v>
      </c>
      <c r="K34" s="13">
        <f>IFERROR('Data Sheet'!J29,0)</f>
        <v>3644</v>
      </c>
      <c r="L34" s="13">
        <f>IFERROR('Data Sheet'!K29,0)</f>
        <v>3744</v>
      </c>
      <c r="M34" s="13">
        <f>IFERROR(SUM('Data Sheet'!H48:K48),0)</f>
        <v>3134</v>
      </c>
    </row>
    <row r="35" spans="2:13" x14ac:dyDescent="0.3">
      <c r="B35" s="15" t="s">
        <v>74</v>
      </c>
      <c r="C35" s="15">
        <f>C34/C31</f>
        <v>0.33844765342960287</v>
      </c>
      <c r="D35" s="15">
        <f t="shared" ref="D35:M35" si="11">D34/D31</f>
        <v>0.33731445145879541</v>
      </c>
      <c r="E35" s="15">
        <f t="shared" si="11"/>
        <v>0.29900762260894576</v>
      </c>
      <c r="F35" s="15">
        <f t="shared" si="11"/>
        <v>0.30717218063269741</v>
      </c>
      <c r="G35" s="15">
        <f t="shared" si="11"/>
        <v>0.27559775769362771</v>
      </c>
      <c r="H35" s="15">
        <f t="shared" si="11"/>
        <v>0.24973646382367035</v>
      </c>
      <c r="I35" s="15">
        <f t="shared" si="11"/>
        <v>0.25617495711835336</v>
      </c>
      <c r="J35" s="15">
        <f t="shared" si="11"/>
        <v>0.24821650124069478</v>
      </c>
      <c r="K35" s="15">
        <f t="shared" si="11"/>
        <v>0.27797696239224962</v>
      </c>
      <c r="L35" s="15">
        <f t="shared" si="11"/>
        <v>0.28595432673947913</v>
      </c>
      <c r="M35" s="15">
        <f t="shared" si="11"/>
        <v>4.9937856528251376E-2</v>
      </c>
    </row>
    <row r="37" spans="2:13" x14ac:dyDescent="0.3">
      <c r="B37" s="25" t="s">
        <v>75</v>
      </c>
      <c r="C37" s="30">
        <f>C31-C34</f>
        <v>3665</v>
      </c>
      <c r="D37" s="30">
        <f t="shared" ref="D37:M37" si="12">D31-D34</f>
        <v>3884</v>
      </c>
      <c r="E37" s="30">
        <f t="shared" si="12"/>
        <v>4874</v>
      </c>
      <c r="F37" s="30">
        <f t="shared" si="12"/>
        <v>5738</v>
      </c>
      <c r="G37" s="30">
        <f t="shared" si="12"/>
        <v>6332</v>
      </c>
      <c r="H37" s="30">
        <f t="shared" si="12"/>
        <v>7829</v>
      </c>
      <c r="I37" s="30">
        <f t="shared" si="12"/>
        <v>8673</v>
      </c>
      <c r="J37" s="30">
        <f t="shared" si="12"/>
        <v>9695</v>
      </c>
      <c r="K37" s="30">
        <f t="shared" si="12"/>
        <v>9465</v>
      </c>
      <c r="L37" s="30">
        <f t="shared" si="12"/>
        <v>9349</v>
      </c>
      <c r="M37" s="30">
        <f t="shared" si="12"/>
        <v>59624</v>
      </c>
    </row>
    <row r="38" spans="2:13" x14ac:dyDescent="0.3">
      <c r="B38" s="15" t="s">
        <v>76</v>
      </c>
      <c r="C38" s="15">
        <f>C37/C10</f>
        <v>0.11386938420431243</v>
      </c>
      <c r="D38" s="15">
        <f t="shared" ref="D38:M38" si="13">D37/D10</f>
        <v>0.11712200711657922</v>
      </c>
      <c r="E38" s="15">
        <f t="shared" si="13"/>
        <v>0.1371219580813054</v>
      </c>
      <c r="F38" s="15">
        <f t="shared" si="13"/>
        <v>0.14596794708725516</v>
      </c>
      <c r="G38" s="15">
        <f t="shared" si="13"/>
        <v>0.15916346178015736</v>
      </c>
      <c r="H38" s="15">
        <f t="shared" si="13"/>
        <v>0.16647529131581185</v>
      </c>
      <c r="I38" s="15">
        <f t="shared" si="13"/>
        <v>0.16537009495481067</v>
      </c>
      <c r="J38" s="15">
        <f t="shared" si="13"/>
        <v>0.16003631561571477</v>
      </c>
      <c r="K38" s="15">
        <f t="shared" si="13"/>
        <v>0.15291779759596744</v>
      </c>
      <c r="L38" s="15">
        <f t="shared" si="13"/>
        <v>0.14811235563441644</v>
      </c>
      <c r="M38" s="15">
        <f t="shared" si="13"/>
        <v>0.92377293009419925</v>
      </c>
    </row>
    <row r="40" spans="2:13" x14ac:dyDescent="0.3">
      <c r="B40" t="s">
        <v>40</v>
      </c>
      <c r="C40" s="17">
        <f>'Data Sheet'!B93</f>
        <v>216.39</v>
      </c>
      <c r="D40" s="17">
        <f>'Data Sheet'!C93</f>
        <v>216.43</v>
      </c>
      <c r="E40" s="17">
        <f>'Data Sheet'!D93</f>
        <v>216.45</v>
      </c>
      <c r="F40" s="17">
        <f>'Data Sheet'!E93</f>
        <v>216.47</v>
      </c>
      <c r="G40" s="17">
        <f>'Data Sheet'!F93</f>
        <v>216.48</v>
      </c>
      <c r="H40" s="17">
        <f>'Data Sheet'!G93</f>
        <v>234.96</v>
      </c>
      <c r="I40" s="17">
        <f>'Data Sheet'!H93</f>
        <v>234.96</v>
      </c>
      <c r="J40" s="17">
        <f>'Data Sheet'!I93</f>
        <v>234.96</v>
      </c>
      <c r="K40" s="17">
        <f>'Data Sheet'!J93</f>
        <v>234.96</v>
      </c>
      <c r="L40" s="17">
        <f>'Data Sheet'!K93</f>
        <v>234.96</v>
      </c>
      <c r="M40" s="17">
        <f>L40</f>
        <v>234.96</v>
      </c>
    </row>
    <row r="42" spans="2:13" x14ac:dyDescent="0.3">
      <c r="B42" t="s">
        <v>31</v>
      </c>
      <c r="C42" s="12">
        <f>IFERROR(C37/C40,0)</f>
        <v>16.937011876704101</v>
      </c>
      <c r="D42" s="12">
        <f t="shared" ref="D42:M42" si="14">IFERROR(D37/D40,0)</f>
        <v>17.945756133622879</v>
      </c>
      <c r="E42" s="12">
        <f t="shared" si="14"/>
        <v>22.51790251790252</v>
      </c>
      <c r="F42" s="12">
        <f t="shared" si="14"/>
        <v>26.507137247655564</v>
      </c>
      <c r="G42" s="12">
        <f t="shared" si="14"/>
        <v>29.249815225424982</v>
      </c>
      <c r="H42" s="12">
        <f t="shared" si="14"/>
        <v>33.320565202587673</v>
      </c>
      <c r="I42" s="12">
        <f t="shared" si="14"/>
        <v>36.912665985699689</v>
      </c>
      <c r="J42" s="12">
        <f t="shared" si="14"/>
        <v>41.262342526387471</v>
      </c>
      <c r="K42" s="12">
        <f t="shared" si="14"/>
        <v>40.283452502553622</v>
      </c>
      <c r="L42" s="12">
        <f t="shared" si="14"/>
        <v>39.789751447054819</v>
      </c>
      <c r="M42" s="12">
        <f t="shared" si="14"/>
        <v>253.76234252638747</v>
      </c>
    </row>
    <row r="43" spans="2:13" x14ac:dyDescent="0.3">
      <c r="B43" s="15" t="s">
        <v>77</v>
      </c>
      <c r="C43" s="15"/>
      <c r="D43" s="15">
        <f>IFERROR(D42/C42-1,0)</f>
        <v>5.9558572920778818E-2</v>
      </c>
      <c r="E43" s="15">
        <f t="shared" ref="E43:M43" si="15">IFERROR(E42/D42-1,0)</f>
        <v>0.25477591193348159</v>
      </c>
      <c r="F43" s="15">
        <f t="shared" si="15"/>
        <v>0.17715836217789205</v>
      </c>
      <c r="G43" s="15">
        <f t="shared" si="15"/>
        <v>0.10346941475213423</v>
      </c>
      <c r="H43" s="15">
        <f t="shared" si="15"/>
        <v>0.1391718185496178</v>
      </c>
      <c r="I43" s="15">
        <f t="shared" si="15"/>
        <v>0.10780431728190054</v>
      </c>
      <c r="J43" s="15">
        <f t="shared" si="15"/>
        <v>0.11783696529459253</v>
      </c>
      <c r="K43" s="15">
        <f t="shared" si="15"/>
        <v>-2.3723568849922771E-2</v>
      </c>
      <c r="L43" s="15">
        <f t="shared" si="15"/>
        <v>-1.2255678816692983E-2</v>
      </c>
      <c r="M43" s="15">
        <f t="shared" si="15"/>
        <v>5.377580489891967</v>
      </c>
    </row>
    <row r="45" spans="2:13" x14ac:dyDescent="0.3">
      <c r="B45" t="s">
        <v>78</v>
      </c>
      <c r="C45" s="18">
        <f>IFERROR('Data Sheet'!B31/Historicals!C40,0)</f>
        <v>15.971163177596008</v>
      </c>
      <c r="D45" s="18">
        <f>IFERROR('Data Sheet'!C31/Historicals!D40,0)</f>
        <v>16.966224645381878</v>
      </c>
      <c r="E45" s="18">
        <f>IFERROR('Data Sheet'!D31/Historicals!E40,0)</f>
        <v>19.95841995841996</v>
      </c>
      <c r="F45" s="18">
        <f>IFERROR('Data Sheet'!E31/Historicals!F40,0)</f>
        <v>21.95223356585208</v>
      </c>
      <c r="G45" s="18">
        <f>IFERROR('Data Sheet'!F31/Historicals!G40,0)</f>
        <v>24.944567627494457</v>
      </c>
      <c r="H45" s="18">
        <f>IFERROR('Data Sheet'!G31/Historicals!H40,0)</f>
        <v>40.506894790602651</v>
      </c>
      <c r="I45" s="18">
        <f>IFERROR('Data Sheet'!H31/Historicals!I40,0)</f>
        <v>34.005788219271366</v>
      </c>
      <c r="J45" s="18">
        <f>IFERROR('Data Sheet'!I31/Historicals!J40,0)</f>
        <v>39.006639427987743</v>
      </c>
      <c r="K45" s="18">
        <f>IFERROR('Data Sheet'!J31/Historicals!K40,0)</f>
        <v>42.007150153217566</v>
      </c>
      <c r="L45" s="18">
        <f>IFERROR('Data Sheet'!K31/Historicals!L40,0)</f>
        <v>53.009022812393596</v>
      </c>
      <c r="M45" s="18">
        <f>IFERROR('Data Sheet'!L31/Historicals!M40,0)</f>
        <v>0</v>
      </c>
    </row>
    <row r="46" spans="2:13" x14ac:dyDescent="0.3">
      <c r="B46" s="15" t="s">
        <v>79</v>
      </c>
      <c r="C46" s="15">
        <f>C45/C42</f>
        <v>0.94297407912687581</v>
      </c>
      <c r="D46" s="15">
        <f t="shared" ref="D46:M46" si="16">D45/D42</f>
        <v>0.94541709577754895</v>
      </c>
      <c r="E46" s="15">
        <f t="shared" si="16"/>
        <v>0.88633565859663521</v>
      </c>
      <c r="F46" s="15">
        <f t="shared" si="16"/>
        <v>0.82816312303938655</v>
      </c>
      <c r="G46" s="15">
        <f t="shared" si="16"/>
        <v>0.85281111813013266</v>
      </c>
      <c r="H46" s="15">
        <f t="shared" si="16"/>
        <v>1.2156724996806743</v>
      </c>
      <c r="I46" s="15">
        <f t="shared" si="16"/>
        <v>0.92124985587455333</v>
      </c>
      <c r="J46" s="15">
        <f t="shared" si="16"/>
        <v>0.94533264569365649</v>
      </c>
      <c r="K46" s="15">
        <f t="shared" si="16"/>
        <v>1.0427892234548337</v>
      </c>
      <c r="L46" s="15">
        <f t="shared" si="16"/>
        <v>1.3322280457802973</v>
      </c>
      <c r="M46" s="15">
        <f t="shared" si="16"/>
        <v>0</v>
      </c>
    </row>
    <row r="48" spans="2:13" x14ac:dyDescent="0.3">
      <c r="B48" s="25" t="s">
        <v>80</v>
      </c>
      <c r="C48" s="29">
        <f>1-C46</f>
        <v>5.7025920873124192E-2</v>
      </c>
      <c r="D48" s="29">
        <f t="shared" ref="D48:M48" si="17">1-D46</f>
        <v>5.4582904222451045E-2</v>
      </c>
      <c r="E48" s="29">
        <f t="shared" si="17"/>
        <v>0.11366434140336479</v>
      </c>
      <c r="F48" s="29">
        <f t="shared" si="17"/>
        <v>0.17183687696061345</v>
      </c>
      <c r="G48" s="29">
        <f t="shared" si="17"/>
        <v>0.14718888186986734</v>
      </c>
      <c r="H48" s="29">
        <f t="shared" si="17"/>
        <v>-0.21567249968067426</v>
      </c>
      <c r="I48" s="29">
        <f t="shared" si="17"/>
        <v>7.8750144125446675E-2</v>
      </c>
      <c r="J48" s="29">
        <f t="shared" si="17"/>
        <v>5.4667354306343507E-2</v>
      </c>
      <c r="K48" s="29">
        <f t="shared" si="17"/>
        <v>-4.2789223454833714E-2</v>
      </c>
      <c r="L48" s="29">
        <f t="shared" si="17"/>
        <v>-0.3322280457802973</v>
      </c>
      <c r="M48" s="29">
        <f t="shared" si="17"/>
        <v>1</v>
      </c>
    </row>
    <row r="51" spans="1:13" x14ac:dyDescent="0.3">
      <c r="A51" t="s">
        <v>58</v>
      </c>
      <c r="B51" s="19" t="s">
        <v>114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3" spans="1:13" x14ac:dyDescent="0.3">
      <c r="B53" t="s">
        <v>11</v>
      </c>
      <c r="C53" s="18">
        <f>IFERROR('Data Sheet'!B57,0)</f>
        <v>216</v>
      </c>
      <c r="D53" s="18">
        <f>IFERROR('Data Sheet'!C57,0)</f>
        <v>216</v>
      </c>
      <c r="E53" s="18">
        <f>IFERROR('Data Sheet'!D57,0)</f>
        <v>216</v>
      </c>
      <c r="F53" s="18">
        <f>IFERROR('Data Sheet'!E57,0)</f>
        <v>216</v>
      </c>
      <c r="G53" s="18">
        <f>IFERROR('Data Sheet'!F57,0)</f>
        <v>216</v>
      </c>
      <c r="H53" s="18">
        <f>IFERROR('Data Sheet'!G57,0)</f>
        <v>235</v>
      </c>
      <c r="I53" s="18">
        <f>IFERROR('Data Sheet'!H57,0)</f>
        <v>235</v>
      </c>
      <c r="J53" s="18">
        <f>IFERROR('Data Sheet'!I57,0)</f>
        <v>235</v>
      </c>
      <c r="K53" s="18">
        <f>IFERROR('Data Sheet'!J57,0)</f>
        <v>235</v>
      </c>
      <c r="L53" s="18">
        <f>IFERROR('Data Sheet'!K57,0)</f>
        <v>235</v>
      </c>
      <c r="M53" s="18"/>
    </row>
    <row r="54" spans="1:13" x14ac:dyDescent="0.3">
      <c r="B54" t="s">
        <v>12</v>
      </c>
      <c r="C54" s="18">
        <f>IFERROR('Data Sheet'!B58,0)</f>
        <v>6357</v>
      </c>
      <c r="D54" s="18">
        <f>IFERROR('Data Sheet'!C58,0)</f>
        <v>6528</v>
      </c>
      <c r="E54" s="18">
        <f>IFERROR('Data Sheet'!D58,0)</f>
        <v>7065</v>
      </c>
      <c r="F54" s="18">
        <f>IFERROR('Data Sheet'!E58,0)</f>
        <v>7651</v>
      </c>
      <c r="G54" s="18">
        <f>IFERROR('Data Sheet'!F58,0)</f>
        <v>8013</v>
      </c>
      <c r="H54" s="18">
        <f>IFERROR('Data Sheet'!G58,0)</f>
        <v>47439</v>
      </c>
      <c r="I54" s="18">
        <f>IFERROR('Data Sheet'!H58,0)</f>
        <v>48826</v>
      </c>
      <c r="J54" s="18">
        <f>IFERROR('Data Sheet'!I58,0)</f>
        <v>50069</v>
      </c>
      <c r="K54" s="18">
        <f>IFERROR('Data Sheet'!J58,0)</f>
        <v>50983</v>
      </c>
      <c r="L54" s="18">
        <f>IFERROR('Data Sheet'!K58,0)</f>
        <v>49167</v>
      </c>
      <c r="M54" s="18"/>
    </row>
    <row r="55" spans="1:13" x14ac:dyDescent="0.3">
      <c r="B55" t="s">
        <v>37</v>
      </c>
      <c r="C55" s="18">
        <f>IFERROR('Data Sheet'!B59,0)</f>
        <v>177</v>
      </c>
      <c r="D55" s="18">
        <f>IFERROR('Data Sheet'!C59,0)</f>
        <v>277</v>
      </c>
      <c r="E55" s="18">
        <f>IFERROR('Data Sheet'!D59,0)</f>
        <v>0</v>
      </c>
      <c r="F55" s="18">
        <f>IFERROR('Data Sheet'!E59,0)</f>
        <v>99</v>
      </c>
      <c r="G55" s="18">
        <f>IFERROR('Data Sheet'!F59,0)</f>
        <v>0</v>
      </c>
      <c r="H55" s="18">
        <f>IFERROR('Data Sheet'!G59,0)</f>
        <v>0</v>
      </c>
      <c r="I55" s="18">
        <f>IFERROR('Data Sheet'!H59,0)</f>
        <v>1043</v>
      </c>
      <c r="J55" s="18">
        <f>IFERROR('Data Sheet'!I59,0)</f>
        <v>1219</v>
      </c>
      <c r="K55" s="18">
        <f>IFERROR('Data Sheet'!J59,0)</f>
        <v>1484</v>
      </c>
      <c r="L55" s="18">
        <f>IFERROR('Data Sheet'!K59,0)</f>
        <v>1648</v>
      </c>
      <c r="M55" s="18"/>
    </row>
    <row r="56" spans="1:13" x14ac:dyDescent="0.3">
      <c r="B56" t="s">
        <v>38</v>
      </c>
      <c r="C56" s="18">
        <f>IFERROR('Data Sheet'!B60,0)</f>
        <v>8043</v>
      </c>
      <c r="D56" s="18">
        <f>IFERROR('Data Sheet'!C60,0)</f>
        <v>8685</v>
      </c>
      <c r="E56" s="18">
        <f>IFERROR('Data Sheet'!D60,0)</f>
        <v>10581</v>
      </c>
      <c r="F56" s="18">
        <f>IFERROR('Data Sheet'!E60,0)</f>
        <v>10663</v>
      </c>
      <c r="G56" s="18">
        <f>IFERROR('Data Sheet'!F60,0)</f>
        <v>11924</v>
      </c>
      <c r="H56" s="18">
        <f>IFERROR('Data Sheet'!G60,0)</f>
        <v>21066</v>
      </c>
      <c r="I56" s="18">
        <f>IFERROR('Data Sheet'!H60,0)</f>
        <v>20402</v>
      </c>
      <c r="J56" s="18">
        <f>IFERROR('Data Sheet'!I60,0)</f>
        <v>21554</v>
      </c>
      <c r="K56" s="18">
        <f>IFERROR('Data Sheet'!J60,0)</f>
        <v>25787</v>
      </c>
      <c r="L56" s="18">
        <f>IFERROR('Data Sheet'!K60,0)</f>
        <v>28813</v>
      </c>
      <c r="M56" s="18"/>
    </row>
    <row r="57" spans="1:13" x14ac:dyDescent="0.3">
      <c r="B57" s="25" t="s">
        <v>13</v>
      </c>
      <c r="C57" s="28">
        <f>IFERROR('Data Sheet'!B61,0)</f>
        <v>14793</v>
      </c>
      <c r="D57" s="28">
        <f>IFERROR('Data Sheet'!C61,0)</f>
        <v>15706</v>
      </c>
      <c r="E57" s="28">
        <f>IFERROR('Data Sheet'!D61,0)</f>
        <v>17862</v>
      </c>
      <c r="F57" s="28">
        <f>IFERROR('Data Sheet'!E61,0)</f>
        <v>18629</v>
      </c>
      <c r="G57" s="28">
        <f>IFERROR('Data Sheet'!F61,0)</f>
        <v>20153</v>
      </c>
      <c r="H57" s="28">
        <f>IFERROR('Data Sheet'!G61,0)</f>
        <v>68740</v>
      </c>
      <c r="I57" s="28">
        <f>IFERROR('Data Sheet'!H61,0)</f>
        <v>70506</v>
      </c>
      <c r="J57" s="28">
        <f>IFERROR('Data Sheet'!I61,0)</f>
        <v>73077</v>
      </c>
      <c r="K57" s="28">
        <f>IFERROR('Data Sheet'!J61,0)</f>
        <v>78489</v>
      </c>
      <c r="L57" s="28">
        <f>IFERROR('Data Sheet'!K61,0)</f>
        <v>79863</v>
      </c>
    </row>
    <row r="58" spans="1:13" x14ac:dyDescent="0.3">
      <c r="B58" s="2"/>
      <c r="C58" s="21"/>
      <c r="D58" s="21"/>
      <c r="E58" s="21"/>
      <c r="F58" s="21"/>
      <c r="G58" s="21"/>
      <c r="H58" s="21"/>
      <c r="I58" s="21"/>
      <c r="J58" s="21"/>
      <c r="K58" s="21"/>
      <c r="L58" s="21"/>
    </row>
    <row r="59" spans="1:13" x14ac:dyDescent="0.3">
      <c r="B59" t="s">
        <v>81</v>
      </c>
      <c r="C59" s="18">
        <f>IFERROR('Data Sheet'!B62,0)</f>
        <v>3258</v>
      </c>
      <c r="D59" s="18">
        <f>IFERROR('Data Sheet'!C62,0)</f>
        <v>4419</v>
      </c>
      <c r="E59" s="18">
        <f>IFERROR('Data Sheet'!D62,0)</f>
        <v>4528</v>
      </c>
      <c r="F59" s="18">
        <f>IFERROR('Data Sheet'!E62,0)</f>
        <v>4715</v>
      </c>
      <c r="G59" s="18">
        <f>IFERROR('Data Sheet'!F62,0)</f>
        <v>5479</v>
      </c>
      <c r="H59" s="18">
        <f>IFERROR('Data Sheet'!G62,0)</f>
        <v>51443</v>
      </c>
      <c r="I59" s="18">
        <f>IFERROR('Data Sheet'!H62,0)</f>
        <v>51473</v>
      </c>
      <c r="J59" s="18">
        <f>IFERROR('Data Sheet'!I62,0)</f>
        <v>52678</v>
      </c>
      <c r="K59" s="18">
        <f>IFERROR('Data Sheet'!J62,0)</f>
        <v>53744</v>
      </c>
      <c r="L59" s="18">
        <f>IFERROR('Data Sheet'!K62,0)</f>
        <v>54335</v>
      </c>
    </row>
    <row r="60" spans="1:13" x14ac:dyDescent="0.3">
      <c r="B60" t="s">
        <v>15</v>
      </c>
      <c r="C60" s="18">
        <f>IFERROR('Data Sheet'!B63,0)</f>
        <v>408</v>
      </c>
      <c r="D60" s="18">
        <f>IFERROR('Data Sheet'!C63,0)</f>
        <v>229</v>
      </c>
      <c r="E60" s="18">
        <f>IFERROR('Data Sheet'!D63,0)</f>
        <v>461</v>
      </c>
      <c r="F60" s="18">
        <f>IFERROR('Data Sheet'!E63,0)</f>
        <v>406</v>
      </c>
      <c r="G60" s="18">
        <f>IFERROR('Data Sheet'!F63,0)</f>
        <v>597</v>
      </c>
      <c r="H60" s="18">
        <f>IFERROR('Data Sheet'!G63,0)</f>
        <v>745</v>
      </c>
      <c r="I60" s="18">
        <f>IFERROR('Data Sheet'!H63,0)</f>
        <v>1313</v>
      </c>
      <c r="J60" s="18">
        <f>IFERROR('Data Sheet'!I63,0)</f>
        <v>1132</v>
      </c>
      <c r="K60" s="18">
        <f>IFERROR('Data Sheet'!J63,0)</f>
        <v>1025</v>
      </c>
      <c r="L60" s="18">
        <f>IFERROR('Data Sheet'!K63,0)</f>
        <v>1009</v>
      </c>
    </row>
    <row r="61" spans="1:13" x14ac:dyDescent="0.3">
      <c r="B61" t="s">
        <v>16</v>
      </c>
      <c r="C61" s="18">
        <f>IFERROR('Data Sheet'!B64,0)</f>
        <v>2592</v>
      </c>
      <c r="D61" s="18">
        <f>IFERROR('Data Sheet'!C64,0)</f>
        <v>3794</v>
      </c>
      <c r="E61" s="18">
        <f>IFERROR('Data Sheet'!D64,0)</f>
        <v>2873</v>
      </c>
      <c r="F61" s="18">
        <f>IFERROR('Data Sheet'!E64,0)</f>
        <v>2716</v>
      </c>
      <c r="G61" s="18">
        <f>IFERROR('Data Sheet'!F64,0)</f>
        <v>1255</v>
      </c>
      <c r="H61" s="18">
        <f>IFERROR('Data Sheet'!G64,0)</f>
        <v>2709</v>
      </c>
      <c r="I61" s="18">
        <f>IFERROR('Data Sheet'!H64,0)</f>
        <v>3521</v>
      </c>
      <c r="J61" s="18">
        <f>IFERROR('Data Sheet'!I64,0)</f>
        <v>2882</v>
      </c>
      <c r="K61" s="18">
        <f>IFERROR('Data Sheet'!J64,0)</f>
        <v>4625</v>
      </c>
      <c r="L61" s="18">
        <f>IFERROR('Data Sheet'!K64,0)</f>
        <v>3810</v>
      </c>
    </row>
    <row r="62" spans="1:13" x14ac:dyDescent="0.3">
      <c r="B62" t="s">
        <v>39</v>
      </c>
      <c r="C62" s="18">
        <f>IFERROR('Data Sheet'!B65-SUM(C65:C67),0)</f>
        <v>1536</v>
      </c>
      <c r="D62" s="18">
        <f>IFERROR('Data Sheet'!C65-SUM(D65:D67),0)</f>
        <v>1810</v>
      </c>
      <c r="E62" s="18">
        <f>IFERROR('Data Sheet'!D65-SUM(E65:E67),0)</f>
        <v>2692</v>
      </c>
      <c r="F62" s="18">
        <f>IFERROR('Data Sheet'!E65-SUM(F65:F67),0)</f>
        <v>2645</v>
      </c>
      <c r="G62" s="18">
        <f>IFERROR('Data Sheet'!F65-SUM(G65:G67),0)</f>
        <v>3793</v>
      </c>
      <c r="H62" s="18">
        <f>IFERROR('Data Sheet'!G65-SUM(H65:H67),0)</f>
        <v>4035</v>
      </c>
      <c r="I62" s="18">
        <f>IFERROR('Data Sheet'!H65-SUM(I65:I67),0)</f>
        <v>4021</v>
      </c>
      <c r="J62" s="18">
        <f>IFERROR('Data Sheet'!I65-SUM(J65:J67),0)</f>
        <v>4377</v>
      </c>
      <c r="K62" s="18">
        <f>IFERROR('Data Sheet'!J65-SUM(K65:K67),0)</f>
        <v>4517</v>
      </c>
      <c r="L62" s="18">
        <f>IFERROR('Data Sheet'!K65-SUM(L65:L67),0)</f>
        <v>4921</v>
      </c>
    </row>
    <row r="63" spans="1:13" x14ac:dyDescent="0.3">
      <c r="B63" s="25" t="s">
        <v>83</v>
      </c>
      <c r="C63" s="25">
        <f>IFERROR(SUM(C59:C62),0)</f>
        <v>7794</v>
      </c>
      <c r="D63" s="25">
        <f t="shared" ref="D63:L63" si="18">IFERROR(SUM(D59:D62),0)</f>
        <v>10252</v>
      </c>
      <c r="E63" s="25">
        <f t="shared" si="18"/>
        <v>10554</v>
      </c>
      <c r="F63" s="25">
        <f t="shared" si="18"/>
        <v>10482</v>
      </c>
      <c r="G63" s="25">
        <f t="shared" si="18"/>
        <v>11124</v>
      </c>
      <c r="H63" s="25">
        <f t="shared" si="18"/>
        <v>58932</v>
      </c>
      <c r="I63" s="25">
        <f t="shared" si="18"/>
        <v>60328</v>
      </c>
      <c r="J63" s="25">
        <f t="shared" si="18"/>
        <v>61069</v>
      </c>
      <c r="K63" s="25">
        <f t="shared" si="18"/>
        <v>63911</v>
      </c>
      <c r="L63" s="25">
        <f t="shared" si="18"/>
        <v>64075</v>
      </c>
    </row>
    <row r="65" spans="1:13" x14ac:dyDescent="0.3">
      <c r="B65" t="s">
        <v>44</v>
      </c>
      <c r="C65" s="18">
        <f>IFERROR('Data Sheet'!B67,0)</f>
        <v>1264</v>
      </c>
      <c r="D65" s="18">
        <f>IFERROR('Data Sheet'!C67,0)</f>
        <v>1085</v>
      </c>
      <c r="E65" s="18">
        <f>IFERROR('Data Sheet'!D67,0)</f>
        <v>1310</v>
      </c>
      <c r="F65" s="18">
        <f>IFERROR('Data Sheet'!E67,0)</f>
        <v>1816</v>
      </c>
      <c r="G65" s="18">
        <f>IFERROR('Data Sheet'!F67,0)</f>
        <v>1149</v>
      </c>
      <c r="H65" s="18">
        <f>IFERROR('Data Sheet'!G67,0)</f>
        <v>1758</v>
      </c>
      <c r="I65" s="18">
        <f>IFERROR('Data Sheet'!H67,0)</f>
        <v>2236</v>
      </c>
      <c r="J65" s="18">
        <f>IFERROR('Data Sheet'!I67,0)</f>
        <v>3079</v>
      </c>
      <c r="K65" s="18">
        <f>IFERROR('Data Sheet'!J67,0)</f>
        <v>2997</v>
      </c>
      <c r="L65" s="18">
        <f>IFERROR('Data Sheet'!K67,0)</f>
        <v>3819</v>
      </c>
    </row>
    <row r="66" spans="1:13" x14ac:dyDescent="0.3">
      <c r="B66" t="s">
        <v>30</v>
      </c>
      <c r="C66" s="18">
        <f>IFERROR('Data Sheet'!B68,0)</f>
        <v>2726</v>
      </c>
      <c r="D66" s="18">
        <f>IFERROR('Data Sheet'!C68,0)</f>
        <v>2541</v>
      </c>
      <c r="E66" s="18">
        <f>IFERROR('Data Sheet'!D68,0)</f>
        <v>2513</v>
      </c>
      <c r="F66" s="18">
        <f>IFERROR('Data Sheet'!E68,0)</f>
        <v>2574</v>
      </c>
      <c r="G66" s="18">
        <f>IFERROR('Data Sheet'!F68,0)</f>
        <v>2767</v>
      </c>
      <c r="H66" s="18">
        <f>IFERROR('Data Sheet'!G68,0)</f>
        <v>3579</v>
      </c>
      <c r="I66" s="18">
        <f>IFERROR('Data Sheet'!H68,0)</f>
        <v>4096</v>
      </c>
      <c r="J66" s="18">
        <f>IFERROR('Data Sheet'!I68,0)</f>
        <v>4251</v>
      </c>
      <c r="K66" s="18">
        <f>IFERROR('Data Sheet'!J68,0)</f>
        <v>4022</v>
      </c>
      <c r="L66" s="18">
        <f>IFERROR('Data Sheet'!K68,0)</f>
        <v>4415</v>
      </c>
    </row>
    <row r="67" spans="1:13" x14ac:dyDescent="0.3">
      <c r="B67" t="s">
        <v>53</v>
      </c>
      <c r="C67" s="18">
        <f>IFERROR('Data Sheet'!B69,0)</f>
        <v>3009</v>
      </c>
      <c r="D67" s="18">
        <f>IFERROR('Data Sheet'!C69,0)</f>
        <v>1828</v>
      </c>
      <c r="E67" s="18">
        <f>IFERROR('Data Sheet'!D69,0)</f>
        <v>3485</v>
      </c>
      <c r="F67" s="18">
        <f>IFERROR('Data Sheet'!E69,0)</f>
        <v>3757</v>
      </c>
      <c r="G67" s="18">
        <f>IFERROR('Data Sheet'!F69,0)</f>
        <v>5113</v>
      </c>
      <c r="H67" s="18">
        <f>IFERROR('Data Sheet'!G69,0)</f>
        <v>4471</v>
      </c>
      <c r="I67" s="18">
        <f>IFERROR('Data Sheet'!H69,0)</f>
        <v>3846</v>
      </c>
      <c r="J67" s="18">
        <f>IFERROR('Data Sheet'!I69,0)</f>
        <v>4678</v>
      </c>
      <c r="K67" s="18">
        <f>IFERROR('Data Sheet'!J69,0)</f>
        <v>7559</v>
      </c>
      <c r="L67" s="18">
        <f>IFERROR('Data Sheet'!K69,0)</f>
        <v>7554</v>
      </c>
    </row>
    <row r="68" spans="1:13" x14ac:dyDescent="0.3">
      <c r="B68" s="25" t="s">
        <v>84</v>
      </c>
      <c r="C68" s="28">
        <f>IFERROR(SUM(C65:C67),0)</f>
        <v>6999</v>
      </c>
      <c r="D68" s="28">
        <f t="shared" ref="D68:L68" si="19">IFERROR(SUM(D65:D67),0)</f>
        <v>5454</v>
      </c>
      <c r="E68" s="28">
        <f t="shared" si="19"/>
        <v>7308</v>
      </c>
      <c r="F68" s="28">
        <f t="shared" si="19"/>
        <v>8147</v>
      </c>
      <c r="G68" s="28">
        <f t="shared" si="19"/>
        <v>9029</v>
      </c>
      <c r="H68" s="28">
        <f t="shared" si="19"/>
        <v>9808</v>
      </c>
      <c r="I68" s="28">
        <f t="shared" si="19"/>
        <v>10178</v>
      </c>
      <c r="J68" s="28">
        <f t="shared" si="19"/>
        <v>12008</v>
      </c>
      <c r="K68" s="28">
        <f t="shared" si="19"/>
        <v>14578</v>
      </c>
      <c r="L68" s="28">
        <f t="shared" si="19"/>
        <v>15788</v>
      </c>
    </row>
    <row r="69" spans="1:13" x14ac:dyDescent="0.3"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3" x14ac:dyDescent="0.3">
      <c r="B70" s="25" t="s">
        <v>82</v>
      </c>
      <c r="C70" s="28">
        <f>IFERROR(C63+C68,0)</f>
        <v>14793</v>
      </c>
      <c r="D70" s="28">
        <f t="shared" ref="D70:L70" si="20">IFERROR(D63+D68,0)</f>
        <v>15706</v>
      </c>
      <c r="E70" s="28">
        <f t="shared" si="20"/>
        <v>17862</v>
      </c>
      <c r="F70" s="28">
        <f t="shared" si="20"/>
        <v>18629</v>
      </c>
      <c r="G70" s="28">
        <f t="shared" si="20"/>
        <v>20153</v>
      </c>
      <c r="H70" s="28">
        <f t="shared" si="20"/>
        <v>68740</v>
      </c>
      <c r="I70" s="28">
        <f t="shared" si="20"/>
        <v>70506</v>
      </c>
      <c r="J70" s="28">
        <f t="shared" si="20"/>
        <v>73077</v>
      </c>
      <c r="K70" s="28">
        <f t="shared" si="20"/>
        <v>78489</v>
      </c>
      <c r="L70" s="28">
        <f t="shared" si="20"/>
        <v>79863</v>
      </c>
    </row>
    <row r="71" spans="1:13" x14ac:dyDescent="0.3">
      <c r="B71" s="2"/>
      <c r="C71" s="21"/>
      <c r="D71" s="21"/>
      <c r="E71" s="21"/>
      <c r="F71" s="21"/>
      <c r="G71" s="21"/>
      <c r="H71" s="21"/>
      <c r="I71" s="21"/>
      <c r="J71" s="21"/>
      <c r="K71" s="21"/>
      <c r="L71" s="21"/>
    </row>
    <row r="72" spans="1:13" x14ac:dyDescent="0.3">
      <c r="B72" s="23" t="s">
        <v>113</v>
      </c>
      <c r="C72" s="24" t="b">
        <f>C70=C57</f>
        <v>1</v>
      </c>
      <c r="D72" s="24" t="b">
        <f t="shared" ref="D72:L72" si="21">D70=D57</f>
        <v>1</v>
      </c>
      <c r="E72" s="24" t="b">
        <f t="shared" si="21"/>
        <v>1</v>
      </c>
      <c r="F72" s="24" t="b">
        <f t="shared" si="21"/>
        <v>1</v>
      </c>
      <c r="G72" s="24" t="b">
        <f t="shared" si="21"/>
        <v>1</v>
      </c>
      <c r="H72" s="24" t="b">
        <f t="shared" si="21"/>
        <v>1</v>
      </c>
      <c r="I72" s="24" t="b">
        <f t="shared" si="21"/>
        <v>1</v>
      </c>
      <c r="J72" s="24" t="b">
        <f t="shared" si="21"/>
        <v>1</v>
      </c>
      <c r="K72" s="24" t="b">
        <f t="shared" si="21"/>
        <v>1</v>
      </c>
      <c r="L72" s="24" t="b">
        <f t="shared" si="21"/>
        <v>1</v>
      </c>
    </row>
    <row r="73" spans="1:13" x14ac:dyDescent="0.3"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13" x14ac:dyDescent="0.3">
      <c r="B74" t="s">
        <v>40</v>
      </c>
      <c r="C74" s="22">
        <f>IFERROR('Data Sheet'!B70/10000000,0)</f>
        <v>216.3936971</v>
      </c>
      <c r="D74" s="22">
        <f>IFERROR('Data Sheet'!C70/10000000,0)</f>
        <v>216.43496390000001</v>
      </c>
      <c r="E74" s="22">
        <f>IFERROR('Data Sheet'!D70/10000000,0)</f>
        <v>216.45287769999999</v>
      </c>
      <c r="F74" s="22">
        <f>IFERROR('Data Sheet'!E70/10000000,0)</f>
        <v>216.4704405</v>
      </c>
      <c r="G74" s="22">
        <f>IFERROR('Data Sheet'!F70/10000000,0)</f>
        <v>216.4704405</v>
      </c>
      <c r="H74" s="22">
        <f>IFERROR('Data Sheet'!G70/10000000,0)</f>
        <v>234.95678190000001</v>
      </c>
      <c r="I74" s="22">
        <f>IFERROR('Data Sheet'!H70/10000000,0)</f>
        <v>234.95912619999999</v>
      </c>
      <c r="J74" s="22">
        <f>IFERROR('Data Sheet'!I70/10000000,0)</f>
        <v>234.95912619999999</v>
      </c>
      <c r="K74" s="22">
        <f>IFERROR('Data Sheet'!J70/10000000,0)</f>
        <v>234.95912619999999</v>
      </c>
      <c r="L74" s="22">
        <f>IFERROR('Data Sheet'!K70/10000000,0)</f>
        <v>234.95912619999999</v>
      </c>
    </row>
    <row r="75" spans="1:13" x14ac:dyDescent="0.3">
      <c r="B75" t="s">
        <v>41</v>
      </c>
      <c r="C75" s="22">
        <f>IFERROR('Data Sheet'!B71,0)</f>
        <v>0</v>
      </c>
      <c r="D75" s="22">
        <f>IFERROR('Data Sheet'!C71,0)</f>
        <v>0</v>
      </c>
      <c r="E75" s="22">
        <f>IFERROR('Data Sheet'!D71,0)</f>
        <v>0</v>
      </c>
      <c r="F75" s="22">
        <f>IFERROR('Data Sheet'!E71,0)</f>
        <v>0</v>
      </c>
      <c r="G75" s="22">
        <f>IFERROR('Data Sheet'!F71,0)</f>
        <v>0</v>
      </c>
      <c r="H75" s="22">
        <f>IFERROR('Data Sheet'!G71,0)</f>
        <v>0</v>
      </c>
      <c r="I75" s="22">
        <f>IFERROR('Data Sheet'!H71,0)</f>
        <v>0</v>
      </c>
      <c r="J75" s="22">
        <f>IFERROR('Data Sheet'!I71,0)</f>
        <v>0</v>
      </c>
      <c r="K75" s="22">
        <f>IFERROR('Data Sheet'!J71,0)</f>
        <v>0</v>
      </c>
      <c r="L75" s="22">
        <f>IFERROR('Data Sheet'!K71,0)</f>
        <v>0</v>
      </c>
    </row>
    <row r="76" spans="1:13" x14ac:dyDescent="0.3">
      <c r="B76" t="s">
        <v>54</v>
      </c>
      <c r="C76" s="18">
        <f>IFERROR('Data Sheet'!B72,0)</f>
        <v>1</v>
      </c>
      <c r="D76" s="18">
        <f>IFERROR('Data Sheet'!C72,0)</f>
        <v>1</v>
      </c>
      <c r="E76" s="18">
        <f>IFERROR('Data Sheet'!D72,0)</f>
        <v>1</v>
      </c>
      <c r="F76" s="18">
        <f>IFERROR('Data Sheet'!E72,0)</f>
        <v>1</v>
      </c>
      <c r="G76" s="18">
        <f>IFERROR('Data Sheet'!F72,0)</f>
        <v>1</v>
      </c>
      <c r="H76" s="18">
        <f>IFERROR('Data Sheet'!G72,0)</f>
        <v>1</v>
      </c>
      <c r="I76" s="18">
        <f>IFERROR('Data Sheet'!H72,0)</f>
        <v>1</v>
      </c>
      <c r="J76" s="18">
        <f>IFERROR('Data Sheet'!I72,0)</f>
        <v>1</v>
      </c>
      <c r="K76" s="18">
        <f>IFERROR('Data Sheet'!J72,0)</f>
        <v>1</v>
      </c>
      <c r="L76" s="18">
        <f>IFERROR('Data Sheet'!K72,0)</f>
        <v>1</v>
      </c>
    </row>
    <row r="78" spans="1:13" x14ac:dyDescent="0.3">
      <c r="A78" t="s">
        <v>58</v>
      </c>
      <c r="B78" s="19" t="s">
        <v>106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1:13" x14ac:dyDescent="0.3">
      <c r="B79" s="2" t="s">
        <v>108</v>
      </c>
    </row>
    <row r="80" spans="1:13" x14ac:dyDescent="0.3">
      <c r="B80" t="s">
        <v>85</v>
      </c>
      <c r="C80" s="18">
        <f>IFERROR('Cash Flow Data'!E4,0)</f>
        <v>6025</v>
      </c>
      <c r="D80" s="18">
        <f>IFERROR('Cash Flow Data'!F4,0)</f>
        <v>6512</v>
      </c>
      <c r="E80" s="18">
        <f>IFERROR('Cash Flow Data'!G4,0)</f>
        <v>7485</v>
      </c>
      <c r="F80" s="18">
        <f>IFERROR('Cash Flow Data'!H4,0)</f>
        <v>8909</v>
      </c>
      <c r="G80" s="18">
        <f>IFERROR('Cash Flow Data'!I4,0)</f>
        <v>9723</v>
      </c>
      <c r="H80" s="18">
        <f>IFERROR('Cash Flow Data'!J4,0)</f>
        <v>11672</v>
      </c>
      <c r="I80" s="18">
        <f>IFERROR('Cash Flow Data'!K4,0)</f>
        <v>12829</v>
      </c>
      <c r="J80" s="18">
        <f>IFERROR('Cash Flow Data'!L4,0)</f>
        <v>14089</v>
      </c>
      <c r="K80" s="18">
        <f>IFERROR('Cash Flow Data'!M4,0)</f>
        <v>14537</v>
      </c>
      <c r="L80" s="18">
        <f>IFERROR('Cash Flow Data'!N4,0)</f>
        <v>14942</v>
      </c>
    </row>
    <row r="81" spans="2:12" x14ac:dyDescent="0.3">
      <c r="B81" t="s">
        <v>44</v>
      </c>
      <c r="C81" s="18">
        <f>IFERROR('Cash Flow Data'!E5,0)</f>
        <v>-257</v>
      </c>
      <c r="D81" s="18">
        <f>IFERROR('Cash Flow Data'!F5,0)</f>
        <v>173</v>
      </c>
      <c r="E81" s="18">
        <f>IFERROR('Cash Flow Data'!G5,0)</f>
        <v>0</v>
      </c>
      <c r="F81" s="18">
        <f>IFERROR('Cash Flow Data'!H5,0)</f>
        <v>0</v>
      </c>
      <c r="G81" s="18">
        <f>IFERROR('Cash Flow Data'!I5,0)</f>
        <v>0</v>
      </c>
      <c r="H81" s="18">
        <f>IFERROR('Cash Flow Data'!J5,0)</f>
        <v>0</v>
      </c>
      <c r="I81" s="18">
        <f>IFERROR('Cash Flow Data'!K5,0)</f>
        <v>0</v>
      </c>
      <c r="J81" s="18">
        <f>IFERROR('Cash Flow Data'!L5,0)</f>
        <v>0</v>
      </c>
      <c r="K81" s="18">
        <f>IFERROR('Cash Flow Data'!M5,0)</f>
        <v>0</v>
      </c>
      <c r="L81" s="18">
        <f>IFERROR('Cash Flow Data'!N5,0)</f>
        <v>0</v>
      </c>
    </row>
    <row r="82" spans="2:12" x14ac:dyDescent="0.3">
      <c r="B82" t="s">
        <v>30</v>
      </c>
      <c r="C82" s="18">
        <f>IFERROR('Cash Flow Data'!E6,0)</f>
        <v>89</v>
      </c>
      <c r="D82" s="18">
        <f>IFERROR('Cash Flow Data'!F6,0)</f>
        <v>37</v>
      </c>
      <c r="E82" s="18">
        <f>IFERROR('Cash Flow Data'!G6,0)</f>
        <v>-146</v>
      </c>
      <c r="F82" s="18">
        <f>IFERROR('Cash Flow Data'!H6,0)</f>
        <v>-195</v>
      </c>
      <c r="G82" s="18">
        <f>IFERROR('Cash Flow Data'!I6,0)</f>
        <v>-331</v>
      </c>
      <c r="H82" s="18">
        <f>IFERROR('Cash Flow Data'!J6,0)</f>
        <v>-543</v>
      </c>
      <c r="I82" s="18">
        <f>IFERROR('Cash Flow Data'!K6,0)</f>
        <v>-758</v>
      </c>
      <c r="J82" s="18">
        <f>IFERROR('Cash Flow Data'!L6,0)</f>
        <v>-339</v>
      </c>
      <c r="K82" s="18">
        <f>IFERROR('Cash Flow Data'!M6,0)</f>
        <v>74</v>
      </c>
      <c r="L82" s="18">
        <f>IFERROR('Cash Flow Data'!N6,0)</f>
        <v>-584</v>
      </c>
    </row>
    <row r="83" spans="2:12" x14ac:dyDescent="0.3">
      <c r="B83" t="s">
        <v>86</v>
      </c>
      <c r="C83" s="18">
        <f>IFERROR('Cash Flow Data'!E7,0)</f>
        <v>164</v>
      </c>
      <c r="D83" s="18">
        <f>IFERROR('Cash Flow Data'!F7,0)</f>
        <v>501</v>
      </c>
      <c r="E83" s="18">
        <f>IFERROR('Cash Flow Data'!G7,0)</f>
        <v>0</v>
      </c>
      <c r="F83" s="18">
        <f>IFERROR('Cash Flow Data'!H7,0)</f>
        <v>0</v>
      </c>
      <c r="G83" s="18">
        <f>IFERROR('Cash Flow Data'!I7,0)</f>
        <v>0</v>
      </c>
      <c r="H83" s="18">
        <f>IFERROR('Cash Flow Data'!J7,0)</f>
        <v>0</v>
      </c>
      <c r="I83" s="18">
        <f>IFERROR('Cash Flow Data'!K7,0)</f>
        <v>0</v>
      </c>
      <c r="J83" s="18">
        <f>IFERROR('Cash Flow Data'!L7,0)</f>
        <v>0</v>
      </c>
      <c r="K83" s="18">
        <f>IFERROR('Cash Flow Data'!M7,0)</f>
        <v>0</v>
      </c>
      <c r="L83" s="18">
        <f>IFERROR('Cash Flow Data'!N7,0)</f>
        <v>0</v>
      </c>
    </row>
    <row r="84" spans="2:12" x14ac:dyDescent="0.3">
      <c r="B84" t="s">
        <v>87</v>
      </c>
      <c r="C84" s="18">
        <f>IFERROR(SUM('Cash Flow Data'!E8:E10),0)</f>
        <v>-77</v>
      </c>
      <c r="D84" s="18">
        <f>IFERROR(SUM('Cash Flow Data'!F8:F10),0)</f>
        <v>-145</v>
      </c>
      <c r="E84" s="18">
        <f>IFERROR(SUM('Cash Flow Data'!G8:G10),0)</f>
        <v>982</v>
      </c>
      <c r="F84" s="18">
        <f>IFERROR(SUM('Cash Flow Data'!H8:H10),0)</f>
        <v>-147</v>
      </c>
      <c r="G84" s="18">
        <f>IFERROR(SUM('Cash Flow Data'!I8:I10),0)</f>
        <v>742</v>
      </c>
      <c r="H84" s="18">
        <f>IFERROR(SUM('Cash Flow Data'!J8:J10),0)</f>
        <v>442</v>
      </c>
      <c r="I84" s="18">
        <f>IFERROR(SUM('Cash Flow Data'!K8:K10),0)</f>
        <v>-242</v>
      </c>
      <c r="J84" s="18">
        <f>IFERROR(SUM('Cash Flow Data'!L8:L10),0)</f>
        <v>-621</v>
      </c>
      <c r="K84" s="18">
        <f>IFERROR(SUM('Cash Flow Data'!M8:M10),0)</f>
        <v>1239</v>
      </c>
      <c r="L84" s="18">
        <f>IFERROR(SUM('Cash Flow Data'!N8:N10),0)</f>
        <v>-204</v>
      </c>
    </row>
    <row r="85" spans="2:12" x14ac:dyDescent="0.3">
      <c r="B85" t="s">
        <v>88</v>
      </c>
      <c r="C85" s="18">
        <f>IFERROR(SUM(C81:C84),0)</f>
        <v>-81</v>
      </c>
      <c r="D85" s="18">
        <f t="shared" ref="D85:L85" si="22">IFERROR(SUM(D81:D84),0)</f>
        <v>566</v>
      </c>
      <c r="E85" s="18">
        <f t="shared" si="22"/>
        <v>836</v>
      </c>
      <c r="F85" s="18">
        <f t="shared" si="22"/>
        <v>-342</v>
      </c>
      <c r="G85" s="18">
        <f t="shared" si="22"/>
        <v>411</v>
      </c>
      <c r="H85" s="18">
        <f t="shared" si="22"/>
        <v>-101</v>
      </c>
      <c r="I85" s="18">
        <f t="shared" si="22"/>
        <v>-1000</v>
      </c>
      <c r="J85" s="18">
        <f t="shared" si="22"/>
        <v>-960</v>
      </c>
      <c r="K85" s="18">
        <f t="shared" si="22"/>
        <v>1313</v>
      </c>
      <c r="L85" s="18">
        <f t="shared" si="22"/>
        <v>-788</v>
      </c>
    </row>
    <row r="86" spans="2:12" x14ac:dyDescent="0.3">
      <c r="B86" t="s">
        <v>89</v>
      </c>
      <c r="C86" s="18">
        <f>IFERROR('Cash Flow Data'!E12,0)</f>
        <v>-1765</v>
      </c>
      <c r="D86" s="18">
        <f>IFERROR('Cash Flow Data'!F12,0)</f>
        <v>-1859</v>
      </c>
      <c r="E86" s="18">
        <f>IFERROR('Cash Flow Data'!G12,0)</f>
        <v>-2264</v>
      </c>
      <c r="F86" s="18">
        <f>IFERROR('Cash Flow Data'!H12,0)</f>
        <v>-2767</v>
      </c>
      <c r="G86" s="18">
        <f>IFERROR('Cash Flow Data'!I12,0)</f>
        <v>-2505</v>
      </c>
      <c r="H86" s="18">
        <f>IFERROR('Cash Flow Data'!J12,0)</f>
        <v>-2407</v>
      </c>
      <c r="I86" s="18">
        <f>IFERROR('Cash Flow Data'!K12,0)</f>
        <v>-2784</v>
      </c>
      <c r="J86" s="18">
        <f>IFERROR('Cash Flow Data'!L12,0)</f>
        <v>-3138</v>
      </c>
      <c r="K86" s="18">
        <f>IFERROR('Cash Flow Data'!M12,0)</f>
        <v>-381</v>
      </c>
      <c r="L86" s="18">
        <f>IFERROR('Cash Flow Data'!N12,0)</f>
        <v>-2268</v>
      </c>
    </row>
    <row r="87" spans="2:12" x14ac:dyDescent="0.3">
      <c r="B87" t="s">
        <v>286</v>
      </c>
      <c r="C87" s="18">
        <f>'Cash Flow Data'!E13</f>
        <v>-8</v>
      </c>
      <c r="D87" s="18">
        <f>'Cash Flow Data'!F13</f>
        <v>-21</v>
      </c>
      <c r="E87" s="18">
        <f>'Cash Flow Data'!G13</f>
        <v>0</v>
      </c>
      <c r="F87" s="18">
        <f>'Cash Flow Data'!H13</f>
        <v>0</v>
      </c>
      <c r="G87" s="18">
        <f>'Cash Flow Data'!I13</f>
        <v>0</v>
      </c>
      <c r="H87" s="18">
        <f>'Cash Flow Data'!J13</f>
        <v>0</v>
      </c>
      <c r="I87" s="18">
        <f>'Cash Flow Data'!K13</f>
        <v>0</v>
      </c>
      <c r="J87" s="18">
        <f>'Cash Flow Data'!L13</f>
        <v>0</v>
      </c>
      <c r="K87" s="18">
        <f>'Cash Flow Data'!M13</f>
        <v>0</v>
      </c>
      <c r="L87" s="18">
        <f>'Cash Flow Data'!N13</f>
        <v>0</v>
      </c>
    </row>
    <row r="88" spans="2:12" x14ac:dyDescent="0.3">
      <c r="B88" t="s">
        <v>287</v>
      </c>
      <c r="C88" s="18">
        <f>'Cash Flow Data'!E14</f>
        <v>0</v>
      </c>
      <c r="D88" s="18">
        <f>'Cash Flow Data'!F14</f>
        <v>-13</v>
      </c>
      <c r="E88" s="18">
        <f>'Cash Flow Data'!G14</f>
        <v>2</v>
      </c>
      <c r="F88" s="18">
        <f>'Cash Flow Data'!H14</f>
        <v>0</v>
      </c>
      <c r="G88" s="18">
        <f>'Cash Flow Data'!I14</f>
        <v>-6</v>
      </c>
      <c r="H88" s="18">
        <f>'Cash Flow Data'!J14</f>
        <v>-1</v>
      </c>
      <c r="I88" s="18">
        <f>'Cash Flow Data'!K14</f>
        <v>3</v>
      </c>
      <c r="J88" s="18">
        <f>'Cash Flow Data'!L14</f>
        <v>0</v>
      </c>
      <c r="K88" s="18">
        <f>'Cash Flow Data'!M14</f>
        <v>0</v>
      </c>
      <c r="L88" s="18">
        <f>'Cash Flow Data'!N14</f>
        <v>0</v>
      </c>
    </row>
    <row r="89" spans="2:12" x14ac:dyDescent="0.3">
      <c r="B89" s="25" t="s">
        <v>109</v>
      </c>
      <c r="C89" s="28">
        <f>SUM(C80,C85:C88)</f>
        <v>4171</v>
      </c>
      <c r="D89" s="28">
        <f t="shared" ref="D89:L89" si="23">SUM(D80,D85:D88)</f>
        <v>5185</v>
      </c>
      <c r="E89" s="28">
        <f t="shared" si="23"/>
        <v>6059</v>
      </c>
      <c r="F89" s="28">
        <f t="shared" si="23"/>
        <v>5800</v>
      </c>
      <c r="G89" s="28">
        <f t="shared" si="23"/>
        <v>7623</v>
      </c>
      <c r="H89" s="28">
        <f t="shared" si="23"/>
        <v>9163</v>
      </c>
      <c r="I89" s="28">
        <f t="shared" si="23"/>
        <v>9048</v>
      </c>
      <c r="J89" s="28">
        <f t="shared" si="23"/>
        <v>9991</v>
      </c>
      <c r="K89" s="28">
        <f t="shared" si="23"/>
        <v>15469</v>
      </c>
      <c r="L89" s="28">
        <f t="shared" si="23"/>
        <v>11886</v>
      </c>
    </row>
    <row r="91" spans="2:12" x14ac:dyDescent="0.3">
      <c r="B91" s="2" t="s">
        <v>110</v>
      </c>
    </row>
    <row r="92" spans="2:12" x14ac:dyDescent="0.3">
      <c r="B92" t="s">
        <v>90</v>
      </c>
      <c r="C92" s="18">
        <f>IFERROR('Cash Flow Data'!E16,0)</f>
        <v>-810</v>
      </c>
      <c r="D92" s="18">
        <f>IFERROR('Cash Flow Data'!F16,0)</f>
        <v>-1113</v>
      </c>
      <c r="E92" s="18">
        <f>IFERROR('Cash Flow Data'!G16,0)</f>
        <v>-895</v>
      </c>
      <c r="F92" s="18">
        <f>IFERROR('Cash Flow Data'!H16,0)</f>
        <v>-767</v>
      </c>
      <c r="G92" s="18">
        <f>IFERROR('Cash Flow Data'!I16,0)</f>
        <v>-862</v>
      </c>
      <c r="H92" s="18">
        <f>IFERROR('Cash Flow Data'!J16,0)</f>
        <v>-4163</v>
      </c>
      <c r="I92" s="18">
        <f>IFERROR('Cash Flow Data'!K16,0)</f>
        <v>-1228</v>
      </c>
      <c r="J92" s="18">
        <f>IFERROR('Cash Flow Data'!L16,0)</f>
        <v>-1192</v>
      </c>
      <c r="K92" s="18">
        <f>IFERROR('Cash Flow Data'!M16,0)</f>
        <v>-1477</v>
      </c>
      <c r="L92" s="18">
        <f>IFERROR('Cash Flow Data'!N16,0)</f>
        <v>-1275</v>
      </c>
    </row>
    <row r="93" spans="2:12" x14ac:dyDescent="0.3">
      <c r="B93" t="s">
        <v>91</v>
      </c>
      <c r="C93" s="18">
        <f>IFERROR('Cash Flow Data'!E17,0)</f>
        <v>99</v>
      </c>
      <c r="D93" s="18">
        <f>IFERROR('Cash Flow Data'!F17,0)</f>
        <v>176</v>
      </c>
      <c r="E93" s="18">
        <f>IFERROR('Cash Flow Data'!G17,0)</f>
        <v>32</v>
      </c>
      <c r="F93" s="18">
        <f>IFERROR('Cash Flow Data'!H17,0)</f>
        <v>13</v>
      </c>
      <c r="G93" s="18">
        <f>IFERROR('Cash Flow Data'!I17,0)</f>
        <v>52</v>
      </c>
      <c r="H93" s="18">
        <f>IFERROR('Cash Flow Data'!J17,0)</f>
        <v>97</v>
      </c>
      <c r="I93" s="18">
        <f>IFERROR('Cash Flow Data'!K17,0)</f>
        <v>175</v>
      </c>
      <c r="J93" s="18">
        <f>IFERROR('Cash Flow Data'!L17,0)</f>
        <v>181</v>
      </c>
      <c r="K93" s="18">
        <f>IFERROR('Cash Flow Data'!M17,0)</f>
        <v>20</v>
      </c>
      <c r="L93" s="18">
        <f>IFERROR('Cash Flow Data'!N17,0)</f>
        <v>13</v>
      </c>
    </row>
    <row r="94" spans="2:12" x14ac:dyDescent="0.3">
      <c r="B94" t="s">
        <v>92</v>
      </c>
      <c r="C94" s="18">
        <f>IFERROR('Cash Flow Data'!E18,0)</f>
        <v>-20666</v>
      </c>
      <c r="D94" s="18">
        <f>IFERROR('Cash Flow Data'!F18,0)</f>
        <v>-31214</v>
      </c>
      <c r="E94" s="18">
        <f>IFERROR('Cash Flow Data'!G18,0)</f>
        <v>-51855</v>
      </c>
      <c r="F94" s="18">
        <f>IFERROR('Cash Flow Data'!H18,0)</f>
        <v>-74365</v>
      </c>
      <c r="G94" s="18">
        <f>IFERROR('Cash Flow Data'!I18,0)</f>
        <v>-36090</v>
      </c>
      <c r="H94" s="18">
        <f>IFERROR('Cash Flow Data'!J18,0)</f>
        <v>-39920</v>
      </c>
      <c r="I94" s="18">
        <f>IFERROR('Cash Flow Data'!K18,0)</f>
        <v>-48522</v>
      </c>
      <c r="J94" s="18">
        <f>IFERROR('Cash Flow Data'!L18,0)</f>
        <v>-22649</v>
      </c>
      <c r="K94" s="18">
        <f>IFERROR('Cash Flow Data'!M18,0)</f>
        <v>-21337</v>
      </c>
      <c r="L94" s="18">
        <f>IFERROR('Cash Flow Data'!N18,0)</f>
        <v>-22957</v>
      </c>
    </row>
    <row r="95" spans="2:12" x14ac:dyDescent="0.3">
      <c r="B95" t="s">
        <v>93</v>
      </c>
      <c r="C95" s="18">
        <f>IFERROR('Cash Flow Data'!E19,0)</f>
        <v>20937</v>
      </c>
      <c r="D95" s="18">
        <f>IFERROR('Cash Flow Data'!F19,0)</f>
        <v>30083</v>
      </c>
      <c r="E95" s="18">
        <f>IFERROR('Cash Flow Data'!G19,0)</f>
        <v>52897</v>
      </c>
      <c r="F95" s="18">
        <f>IFERROR('Cash Flow Data'!H19,0)</f>
        <v>74691</v>
      </c>
      <c r="G95" s="18">
        <f>IFERROR('Cash Flow Data'!I19,0)</f>
        <v>37690</v>
      </c>
      <c r="H95" s="18">
        <f>IFERROR('Cash Flow Data'!J19,0)</f>
        <v>38486</v>
      </c>
      <c r="I95" s="18">
        <f>IFERROR('Cash Flow Data'!K19,0)</f>
        <v>47786</v>
      </c>
      <c r="J95" s="18">
        <f>IFERROR('Cash Flow Data'!L19,0)</f>
        <v>23462</v>
      </c>
      <c r="K95" s="18">
        <f>IFERROR('Cash Flow Data'!M19,0)</f>
        <v>19846</v>
      </c>
      <c r="L95" s="18">
        <f>IFERROR('Cash Flow Data'!N19,0)</f>
        <v>23987</v>
      </c>
    </row>
    <row r="96" spans="2:12" x14ac:dyDescent="0.3">
      <c r="B96" t="s">
        <v>94</v>
      </c>
      <c r="C96" s="18">
        <f>IFERROR('Cash Flow Data'!E20,0)</f>
        <v>315</v>
      </c>
      <c r="D96" s="18">
        <f>IFERROR('Cash Flow Data'!F20,0)</f>
        <v>264</v>
      </c>
      <c r="E96" s="18">
        <f>IFERROR('Cash Flow Data'!G20,0)</f>
        <v>297</v>
      </c>
      <c r="F96" s="18">
        <f>IFERROR('Cash Flow Data'!H20,0)</f>
        <v>289</v>
      </c>
      <c r="G96" s="18">
        <f>IFERROR('Cash Flow Data'!I20,0)</f>
        <v>351</v>
      </c>
      <c r="H96" s="18">
        <f>IFERROR('Cash Flow Data'!J20,0)</f>
        <v>277</v>
      </c>
      <c r="I96" s="18">
        <f>IFERROR('Cash Flow Data'!K20,0)</f>
        <v>161</v>
      </c>
      <c r="J96" s="18">
        <f>IFERROR('Cash Flow Data'!L20,0)</f>
        <v>259</v>
      </c>
      <c r="K96" s="18">
        <f>IFERROR('Cash Flow Data'!M20,0)</f>
        <v>425</v>
      </c>
      <c r="L96" s="18">
        <f>IFERROR('Cash Flow Data'!N20,0)</f>
        <v>835</v>
      </c>
    </row>
    <row r="97" spans="2:12" x14ac:dyDescent="0.3">
      <c r="B97" t="s">
        <v>95</v>
      </c>
      <c r="C97" s="18">
        <f>IFERROR('Cash Flow Data'!E21,0)</f>
        <v>33</v>
      </c>
      <c r="D97" s="18">
        <f>IFERROR('Cash Flow Data'!F21,0)</f>
        <v>14</v>
      </c>
      <c r="E97" s="18">
        <f>IFERROR('Cash Flow Data'!G21,0)</f>
        <v>0</v>
      </c>
      <c r="F97" s="18">
        <f>IFERROR('Cash Flow Data'!H21,0)</f>
        <v>1</v>
      </c>
      <c r="G97" s="18">
        <f>IFERROR('Cash Flow Data'!I21,0)</f>
        <v>1</v>
      </c>
      <c r="H97" s="18">
        <f>IFERROR('Cash Flow Data'!J21,0)</f>
        <v>1</v>
      </c>
      <c r="I97" s="18">
        <f>IFERROR('Cash Flow Data'!K21,0)</f>
        <v>1</v>
      </c>
      <c r="J97" s="18">
        <f>IFERROR('Cash Flow Data'!L21,0)</f>
        <v>2</v>
      </c>
      <c r="K97" s="18">
        <f>IFERROR('Cash Flow Data'!M21,0)</f>
        <v>3</v>
      </c>
      <c r="L97" s="18">
        <f>IFERROR('Cash Flow Data'!N21,0)</f>
        <v>0</v>
      </c>
    </row>
    <row r="98" spans="2:12" x14ac:dyDescent="0.3">
      <c r="B98" t="s">
        <v>288</v>
      </c>
      <c r="C98" s="18">
        <f>IFERROR('Cash Flow Data'!E22,0)</f>
        <v>0</v>
      </c>
      <c r="D98" s="18">
        <f>IFERROR('Cash Flow Data'!F22,0)</f>
        <v>0</v>
      </c>
      <c r="E98" s="18">
        <f>IFERROR('Cash Flow Data'!G22,0)</f>
        <v>0</v>
      </c>
      <c r="F98" s="18">
        <f>IFERROR('Cash Flow Data'!H22,0)</f>
        <v>0</v>
      </c>
      <c r="G98" s="18">
        <f>IFERROR('Cash Flow Data'!I22,0)</f>
        <v>0</v>
      </c>
      <c r="H98" s="18">
        <f>IFERROR('Cash Flow Data'!J22,0)</f>
        <v>0</v>
      </c>
      <c r="I98" s="18">
        <f>IFERROR('Cash Flow Data'!K22,0)</f>
        <v>0</v>
      </c>
      <c r="J98" s="18">
        <f>IFERROR('Cash Flow Data'!L22,0)</f>
        <v>0</v>
      </c>
      <c r="K98" s="18">
        <f>IFERROR('Cash Flow Data'!M22,0)</f>
        <v>0</v>
      </c>
      <c r="L98" s="18">
        <f>IFERROR('Cash Flow Data'!N22,0)</f>
        <v>0</v>
      </c>
    </row>
    <row r="99" spans="2:12" x14ac:dyDescent="0.3">
      <c r="B99" t="s">
        <v>289</v>
      </c>
      <c r="C99" s="18">
        <f>IFERROR('Cash Flow Data'!E23,0)</f>
        <v>0</v>
      </c>
      <c r="D99" s="18">
        <f>IFERROR('Cash Flow Data'!F23,0)</f>
        <v>0</v>
      </c>
      <c r="E99" s="18">
        <f>IFERROR('Cash Flow Data'!G23,0)</f>
        <v>0</v>
      </c>
      <c r="F99" s="18">
        <f>IFERROR('Cash Flow Data'!H23,0)</f>
        <v>0</v>
      </c>
      <c r="G99" s="18">
        <f>IFERROR('Cash Flow Data'!I23,0)</f>
        <v>0</v>
      </c>
      <c r="H99" s="18">
        <f>IFERROR('Cash Flow Data'!J23,0)</f>
        <v>0</v>
      </c>
      <c r="I99" s="18">
        <f>IFERROR('Cash Flow Data'!K23,0)</f>
        <v>0</v>
      </c>
      <c r="J99" s="18">
        <f>IFERROR('Cash Flow Data'!L23,0)</f>
        <v>0</v>
      </c>
      <c r="K99" s="18">
        <f>IFERROR('Cash Flow Data'!M23,0)</f>
        <v>0</v>
      </c>
      <c r="L99" s="18">
        <f>IFERROR('Cash Flow Data'!N23,0)</f>
        <v>0</v>
      </c>
    </row>
    <row r="100" spans="2:12" x14ac:dyDescent="0.3">
      <c r="B100" t="s">
        <v>96</v>
      </c>
      <c r="C100" s="18">
        <f>IFERROR('Cash Flow Data'!E24,0)</f>
        <v>161</v>
      </c>
      <c r="D100" s="18">
        <f>IFERROR('Cash Flow Data'!F24,0)</f>
        <v>20</v>
      </c>
      <c r="E100" s="18">
        <f>IFERROR('Cash Flow Data'!G24,0)</f>
        <v>73</v>
      </c>
      <c r="F100" s="18">
        <f>IFERROR('Cash Flow Data'!H24,0)</f>
        <v>0</v>
      </c>
      <c r="G100" s="18">
        <f>IFERROR('Cash Flow Data'!I24,0)</f>
        <v>0</v>
      </c>
      <c r="H100" s="18">
        <f>IFERROR('Cash Flow Data'!J24,0)</f>
        <v>0</v>
      </c>
      <c r="I100" s="18">
        <f>IFERROR('Cash Flow Data'!K24,0)</f>
        <v>0</v>
      </c>
      <c r="J100" s="18">
        <f>IFERROR('Cash Flow Data'!L24,0)</f>
        <v>0</v>
      </c>
      <c r="K100" s="18">
        <f>IFERROR('Cash Flow Data'!M24,0)</f>
        <v>0</v>
      </c>
      <c r="L100" s="18">
        <f>IFERROR('Cash Flow Data'!N24,0)</f>
        <v>0</v>
      </c>
    </row>
    <row r="101" spans="2:12" x14ac:dyDescent="0.3">
      <c r="B101" t="s">
        <v>97</v>
      </c>
      <c r="C101" s="18">
        <f>IFERROR('Cash Flow Data'!E25,0)</f>
        <v>0</v>
      </c>
      <c r="D101" s="18">
        <f>IFERROR('Cash Flow Data'!F25,0)</f>
        <v>0</v>
      </c>
      <c r="E101" s="18">
        <f>IFERROR('Cash Flow Data'!G25,0)</f>
        <v>0</v>
      </c>
      <c r="F101" s="18">
        <f>IFERROR('Cash Flow Data'!H25,0)</f>
        <v>0</v>
      </c>
      <c r="G101" s="18">
        <f>IFERROR('Cash Flow Data'!I25,0)</f>
        <v>0</v>
      </c>
      <c r="H101" s="18">
        <f>IFERROR('Cash Flow Data'!J25,0)</f>
        <v>0</v>
      </c>
      <c r="I101" s="18">
        <f>IFERROR('Cash Flow Data'!K25,0)</f>
        <v>0</v>
      </c>
      <c r="J101" s="18">
        <f>IFERROR('Cash Flow Data'!L25,0)</f>
        <v>-334</v>
      </c>
      <c r="K101" s="18">
        <f>IFERROR('Cash Flow Data'!M25,0)</f>
        <v>0</v>
      </c>
      <c r="L101" s="18">
        <f>IFERROR('Cash Flow Data'!N25,0)</f>
        <v>0</v>
      </c>
    </row>
    <row r="102" spans="2:12" x14ac:dyDescent="0.3">
      <c r="B102" t="s">
        <v>98</v>
      </c>
      <c r="C102" s="18">
        <f>IFERROR('Cash Flow Data'!E26,0)</f>
        <v>-351</v>
      </c>
      <c r="D102" s="18">
        <f>IFERROR('Cash Flow Data'!F26,0)</f>
        <v>597</v>
      </c>
      <c r="E102" s="18">
        <f>IFERROR('Cash Flow Data'!G26,0)</f>
        <v>-1612</v>
      </c>
      <c r="F102" s="18">
        <f>IFERROR('Cash Flow Data'!H26,0)</f>
        <v>-300</v>
      </c>
      <c r="G102" s="18">
        <f>IFERROR('Cash Flow Data'!I26,0)</f>
        <v>649</v>
      </c>
      <c r="H102" s="18">
        <f>IFERROR('Cash Flow Data'!J26,0)</f>
        <v>3994</v>
      </c>
      <c r="I102" s="18">
        <f>IFERROR('Cash Flow Data'!K26,0)</f>
        <v>-101</v>
      </c>
      <c r="J102" s="18">
        <f>IFERROR('Cash Flow Data'!L26,0)</f>
        <v>-1213</v>
      </c>
      <c r="K102" s="18">
        <f>IFERROR('Cash Flow Data'!M26,0)</f>
        <v>-2804</v>
      </c>
      <c r="L102" s="18">
        <f>IFERROR('Cash Flow Data'!N26,0)</f>
        <v>5870</v>
      </c>
    </row>
    <row r="103" spans="2:12" x14ac:dyDescent="0.3">
      <c r="B103" s="25" t="s">
        <v>292</v>
      </c>
      <c r="C103" s="28">
        <f>SUM(C92:C102)</f>
        <v>-282</v>
      </c>
      <c r="D103" s="28">
        <f t="shared" ref="D103:L103" si="24">SUM(D92:D102)</f>
        <v>-1173</v>
      </c>
      <c r="E103" s="28">
        <f t="shared" si="24"/>
        <v>-1063</v>
      </c>
      <c r="F103" s="28">
        <f t="shared" si="24"/>
        <v>-438</v>
      </c>
      <c r="G103" s="28">
        <f t="shared" si="24"/>
        <v>1791</v>
      </c>
      <c r="H103" s="28">
        <f t="shared" si="24"/>
        <v>-1228</v>
      </c>
      <c r="I103" s="28">
        <f t="shared" si="24"/>
        <v>-1728</v>
      </c>
      <c r="J103" s="28">
        <f t="shared" si="24"/>
        <v>-1484</v>
      </c>
      <c r="K103" s="28">
        <f t="shared" si="24"/>
        <v>-5324</v>
      </c>
      <c r="L103" s="28">
        <f t="shared" si="24"/>
        <v>6473</v>
      </c>
    </row>
    <row r="104" spans="2:12" x14ac:dyDescent="0.3"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 spans="2:12" x14ac:dyDescent="0.3">
      <c r="B105" s="2" t="s">
        <v>111</v>
      </c>
    </row>
    <row r="106" spans="2:12" x14ac:dyDescent="0.3">
      <c r="B106" t="s">
        <v>99</v>
      </c>
      <c r="C106" s="18">
        <f>IFERROR('Cash Flow Data'!E28,0)</f>
        <v>0</v>
      </c>
      <c r="D106" s="18">
        <f>IFERROR('Cash Flow Data'!F28,0)</f>
        <v>0</v>
      </c>
      <c r="E106" s="18">
        <f>IFERROR('Cash Flow Data'!G28,0)</f>
        <v>0</v>
      </c>
      <c r="F106" s="18">
        <f>IFERROR('Cash Flow Data'!H28,0)</f>
        <v>0</v>
      </c>
      <c r="G106" s="18">
        <f>IFERROR('Cash Flow Data'!I28,0)</f>
        <v>0</v>
      </c>
      <c r="H106" s="18">
        <f>IFERROR('Cash Flow Data'!J28,0)</f>
        <v>0</v>
      </c>
      <c r="I106" s="18">
        <f>IFERROR('Cash Flow Data'!K28,0)</f>
        <v>0</v>
      </c>
      <c r="J106" s="18">
        <f>IFERROR('Cash Flow Data'!L28,0)</f>
        <v>0</v>
      </c>
      <c r="K106" s="18">
        <f>IFERROR('Cash Flow Data'!M28,0)</f>
        <v>0</v>
      </c>
      <c r="L106" s="18">
        <f>IFERROR('Cash Flow Data'!N28,0)</f>
        <v>0</v>
      </c>
    </row>
    <row r="107" spans="2:12" x14ac:dyDescent="0.3">
      <c r="B107" t="s">
        <v>100</v>
      </c>
      <c r="C107" s="18">
        <f>IFERROR('Cash Flow Data'!E29,0)</f>
        <v>177</v>
      </c>
      <c r="D107" s="18">
        <f>IFERROR('Cash Flow Data'!F29,0)</f>
        <v>460</v>
      </c>
      <c r="E107" s="18">
        <f>IFERROR('Cash Flow Data'!G29,0)</f>
        <v>0</v>
      </c>
      <c r="F107" s="18">
        <f>IFERROR('Cash Flow Data'!H29,0)</f>
        <v>99</v>
      </c>
      <c r="G107" s="18">
        <f>IFERROR('Cash Flow Data'!I29,0)</f>
        <v>0</v>
      </c>
      <c r="H107" s="18">
        <f>IFERROR('Cash Flow Data'!J29,0)</f>
        <v>188</v>
      </c>
      <c r="I107" s="18">
        <f>IFERROR('Cash Flow Data'!K29,0)</f>
        <v>55</v>
      </c>
      <c r="J107" s="18">
        <f>IFERROR('Cash Flow Data'!L29,0)</f>
        <v>286</v>
      </c>
      <c r="K107" s="18">
        <f>IFERROR('Cash Flow Data'!M29,0)</f>
        <v>0</v>
      </c>
      <c r="L107" s="18">
        <f>IFERROR('Cash Flow Data'!N29,0)</f>
        <v>0</v>
      </c>
    </row>
    <row r="108" spans="2:12" x14ac:dyDescent="0.3">
      <c r="B108" t="s">
        <v>101</v>
      </c>
      <c r="C108" s="18">
        <f>IFERROR('Cash Flow Data'!E30,0)</f>
        <v>0</v>
      </c>
      <c r="D108" s="18">
        <f>IFERROR('Cash Flow Data'!F30,0)</f>
        <v>-360</v>
      </c>
      <c r="E108" s="18">
        <f>IFERROR('Cash Flow Data'!G30,0)</f>
        <v>-277</v>
      </c>
      <c r="F108" s="18">
        <f>IFERROR('Cash Flow Data'!H30,0)</f>
        <v>0</v>
      </c>
      <c r="G108" s="18">
        <f>IFERROR('Cash Flow Data'!I30,0)</f>
        <v>-99</v>
      </c>
      <c r="H108" s="18">
        <f>IFERROR('Cash Flow Data'!J30,0)</f>
        <v>-188</v>
      </c>
      <c r="I108" s="18">
        <f>IFERROR('Cash Flow Data'!K30,0)</f>
        <v>-55</v>
      </c>
      <c r="J108" s="18">
        <f>IFERROR('Cash Flow Data'!L30,0)</f>
        <v>-208</v>
      </c>
      <c r="K108" s="18">
        <f>IFERROR('Cash Flow Data'!M30,0)</f>
        <v>-85</v>
      </c>
      <c r="L108" s="18">
        <f>IFERROR('Cash Flow Data'!N30,0)</f>
        <v>0</v>
      </c>
    </row>
    <row r="109" spans="2:12" x14ac:dyDescent="0.3">
      <c r="B109" t="s">
        <v>102</v>
      </c>
      <c r="C109" s="18">
        <f>IFERROR('Cash Flow Data'!E31,0)</f>
        <v>-2</v>
      </c>
      <c r="D109" s="18">
        <f>IFERROR('Cash Flow Data'!F31,0)</f>
        <v>-14</v>
      </c>
      <c r="E109" s="18">
        <f>IFERROR('Cash Flow Data'!G31,0)</f>
        <v>-6</v>
      </c>
      <c r="F109" s="18">
        <f>IFERROR('Cash Flow Data'!H31,0)</f>
        <v>-7</v>
      </c>
      <c r="G109" s="18">
        <f>IFERROR('Cash Flow Data'!I31,0)</f>
        <v>-90</v>
      </c>
      <c r="H109" s="18">
        <f>IFERROR('Cash Flow Data'!J31,0)</f>
        <v>-92</v>
      </c>
      <c r="I109" s="18">
        <f>IFERROR('Cash Flow Data'!K31,0)</f>
        <v>-82</v>
      </c>
      <c r="J109" s="18">
        <f>IFERROR('Cash Flow Data'!L31,0)</f>
        <v>-88</v>
      </c>
      <c r="K109" s="18">
        <f>IFERROR('Cash Flow Data'!M31,0)</f>
        <v>-110</v>
      </c>
      <c r="L109" s="18">
        <f>IFERROR('Cash Flow Data'!N31,0)</f>
        <v>-130</v>
      </c>
    </row>
    <row r="110" spans="2:12" x14ac:dyDescent="0.3">
      <c r="B110" t="s">
        <v>103</v>
      </c>
      <c r="C110" s="18">
        <f>IFERROR('Cash Flow Data'!E32,0)</f>
        <v>-3354</v>
      </c>
      <c r="D110" s="18">
        <f>IFERROR('Cash Flow Data'!F32,0)</f>
        <v>-3572</v>
      </c>
      <c r="E110" s="18">
        <f>IFERROR('Cash Flow Data'!G32,0)</f>
        <v>-3911</v>
      </c>
      <c r="F110" s="18">
        <f>IFERROR('Cash Flow Data'!H32,0)</f>
        <v>-4554</v>
      </c>
      <c r="G110" s="18">
        <f>IFERROR('Cash Flow Data'!I32,0)</f>
        <v>-5196</v>
      </c>
      <c r="H110" s="18">
        <f>IFERROR('Cash Flow Data'!J32,0)</f>
        <v>-8811</v>
      </c>
      <c r="I110" s="18">
        <f>IFERROR('Cash Flow Data'!K32,0)</f>
        <v>-7526</v>
      </c>
      <c r="J110" s="18">
        <f>IFERROR('Cash Flow Data'!L32,0)</f>
        <v>-8474</v>
      </c>
      <c r="K110" s="18">
        <f>IFERROR('Cash Flow Data'!M32,0)</f>
        <v>-9416</v>
      </c>
      <c r="L110" s="18">
        <f>IFERROR('Cash Flow Data'!N32,0)</f>
        <v>-12473</v>
      </c>
    </row>
    <row r="111" spans="2:12" x14ac:dyDescent="0.3">
      <c r="B111" t="s">
        <v>104</v>
      </c>
      <c r="C111" s="18">
        <f>IFERROR('Cash Flow Data'!E33,0)</f>
        <v>0</v>
      </c>
      <c r="D111" s="18">
        <f>IFERROR('Cash Flow Data'!F33,0)</f>
        <v>0</v>
      </c>
      <c r="E111" s="18">
        <f>IFERROR('Cash Flow Data'!G33,0)</f>
        <v>0</v>
      </c>
      <c r="F111" s="18">
        <f>IFERROR('Cash Flow Data'!H33,0)</f>
        <v>0</v>
      </c>
      <c r="G111" s="18">
        <f>IFERROR('Cash Flow Data'!I33,0)</f>
        <v>-373</v>
      </c>
      <c r="H111" s="18">
        <f>IFERROR('Cash Flow Data'!J33,0)</f>
        <v>-406</v>
      </c>
      <c r="I111" s="18">
        <f>IFERROR('Cash Flow Data'!K33,0)</f>
        <v>-407</v>
      </c>
      <c r="J111" s="18">
        <f>IFERROR('Cash Flow Data'!L33,0)</f>
        <v>-467</v>
      </c>
      <c r="K111" s="18">
        <f>IFERROR('Cash Flow Data'!M33,0)</f>
        <v>-423</v>
      </c>
      <c r="L111" s="18">
        <f>IFERROR('Cash Flow Data'!N33,0)</f>
        <v>-498</v>
      </c>
    </row>
    <row r="112" spans="2:12" x14ac:dyDescent="0.3">
      <c r="B112" t="s">
        <v>105</v>
      </c>
      <c r="C112" s="18">
        <f>IFERROR('Cash Flow Data'!E34,0)</f>
        <v>-685</v>
      </c>
      <c r="D112" s="18">
        <f>IFERROR('Cash Flow Data'!F34,0)</f>
        <v>-728</v>
      </c>
      <c r="E112" s="18">
        <f>IFERROR('Cash Flow Data'!G34,0)</f>
        <v>-781</v>
      </c>
      <c r="F112" s="18">
        <f>IFERROR('Cash Flow Data'!H34,0)</f>
        <v>-928</v>
      </c>
      <c r="G112" s="18">
        <f>IFERROR('Cash Flow Data'!I34,0)</f>
        <v>-1061</v>
      </c>
      <c r="H112" s="18">
        <f>IFERROR('Cash Flow Data'!J34,0)</f>
        <v>0</v>
      </c>
      <c r="I112" s="18">
        <f>IFERROR('Cash Flow Data'!K34,0)</f>
        <v>0</v>
      </c>
      <c r="J112" s="18">
        <f>IFERROR('Cash Flow Data'!L34,0)</f>
        <v>-2</v>
      </c>
      <c r="K112" s="18">
        <f>IFERROR('Cash Flow Data'!M34,0)</f>
        <v>0</v>
      </c>
      <c r="L112" s="18">
        <f>IFERROR('Cash Flow Data'!N34,0)</f>
        <v>0</v>
      </c>
    </row>
    <row r="113" spans="2:12" x14ac:dyDescent="0.3">
      <c r="B113" s="25" t="s">
        <v>112</v>
      </c>
      <c r="C113" s="28">
        <f>SUM(C106:C112)</f>
        <v>-3864</v>
      </c>
      <c r="D113" s="28">
        <f t="shared" ref="D113:L113" si="25">SUM(D106:D112)</f>
        <v>-4214</v>
      </c>
      <c r="E113" s="28">
        <f t="shared" si="25"/>
        <v>-4975</v>
      </c>
      <c r="F113" s="28">
        <f t="shared" si="25"/>
        <v>-5390</v>
      </c>
      <c r="G113" s="28">
        <f t="shared" si="25"/>
        <v>-6819</v>
      </c>
      <c r="H113" s="28">
        <f t="shared" si="25"/>
        <v>-9309</v>
      </c>
      <c r="I113" s="28">
        <f t="shared" si="25"/>
        <v>-8015</v>
      </c>
      <c r="J113" s="28">
        <f t="shared" si="25"/>
        <v>-8953</v>
      </c>
      <c r="K113" s="28">
        <f t="shared" si="25"/>
        <v>-10034</v>
      </c>
      <c r="L113" s="28">
        <f t="shared" si="25"/>
        <v>-13101</v>
      </c>
    </row>
    <row r="115" spans="2:12" x14ac:dyDescent="0.3">
      <c r="B115" s="2" t="s">
        <v>21</v>
      </c>
      <c r="C115" s="21">
        <f>IFERROR(SUM(C89,C103,C113),0)</f>
        <v>25</v>
      </c>
      <c r="D115" s="21">
        <f t="shared" ref="D115:L115" si="26">IFERROR(SUM(D89,D103,D113),0)</f>
        <v>-202</v>
      </c>
      <c r="E115" s="21">
        <f t="shared" si="26"/>
        <v>21</v>
      </c>
      <c r="F115" s="21">
        <f t="shared" si="26"/>
        <v>-28</v>
      </c>
      <c r="G115" s="21">
        <f t="shared" si="26"/>
        <v>2595</v>
      </c>
      <c r="H115" s="21">
        <f t="shared" si="26"/>
        <v>-1374</v>
      </c>
      <c r="I115" s="21">
        <f t="shared" si="26"/>
        <v>-695</v>
      </c>
      <c r="J115" s="21">
        <f t="shared" si="26"/>
        <v>-446</v>
      </c>
      <c r="K115" s="21">
        <f t="shared" si="26"/>
        <v>111</v>
      </c>
      <c r="L115" s="21">
        <f t="shared" si="26"/>
        <v>5258</v>
      </c>
    </row>
    <row r="117" spans="2:12" x14ac:dyDescent="0.3">
      <c r="C117" t="b">
        <f>C115='Cash Flow Data'!E35</f>
        <v>1</v>
      </c>
      <c r="D117" t="b">
        <f>D115='Cash Flow Data'!F35</f>
        <v>1</v>
      </c>
      <c r="E117" t="b">
        <f>E115='Cash Flow Data'!G35</f>
        <v>1</v>
      </c>
      <c r="F117" t="b">
        <f>F115='Cash Flow Data'!H35</f>
        <v>1</v>
      </c>
      <c r="G117" t="b">
        <f>G115='Cash Flow Data'!I35</f>
        <v>1</v>
      </c>
      <c r="H117" t="b">
        <f>H115='Cash Flow Data'!J35</f>
        <v>1</v>
      </c>
      <c r="I117" t="b">
        <f>I115='Cash Flow Data'!K35</f>
        <v>1</v>
      </c>
      <c r="J117" t="b">
        <f>J115='Cash Flow Data'!L35</f>
        <v>1</v>
      </c>
      <c r="K117" t="b">
        <f>K115='Cash Flow Data'!M35</f>
        <v>1</v>
      </c>
      <c r="L117" t="b">
        <f>L115='Cash Flow Data'!N35</f>
        <v>1</v>
      </c>
    </row>
  </sheetData>
  <mergeCells count="2">
    <mergeCell ref="B6:M6"/>
    <mergeCell ref="B2:G4"/>
  </mergeCells>
  <pageMargins left="0.25" right="0.25" top="0.75" bottom="0.75" header="0.3" footer="0.3"/>
  <pageSetup scale="65" fitToHeight="0" orientation="landscape" r:id="rId1"/>
  <rowBreaks count="2" manualBreakCount="2">
    <brk id="48" max="16383" man="1"/>
    <brk id="77" min="1" max="12" man="1"/>
  </rowBreaks>
  <ignoredErrors>
    <ignoredError sqref="M10 C19:L19 C84:L84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7E33-7C3C-4DEB-8B6C-7632CA52D7A7}">
  <sheetPr>
    <pageSetUpPr fitToPage="1"/>
  </sheetPr>
  <dimension ref="A1:L44"/>
  <sheetViews>
    <sheetView showGridLines="0" workbookViewId="0">
      <pane xSplit="1" ySplit="6" topLeftCell="B29" activePane="bottomRight" state="frozen"/>
      <selection pane="topRight" activeCell="B1" sqref="B1"/>
      <selection pane="bottomLeft" activeCell="A3" sqref="A3"/>
      <selection pane="bottomRight" activeCell="B1" sqref="B1:L44"/>
    </sheetView>
  </sheetViews>
  <sheetFormatPr defaultRowHeight="14.4" x14ac:dyDescent="0.3"/>
  <cols>
    <col min="1" max="1" width="1.88671875" customWidth="1"/>
    <col min="2" max="2" width="22.88671875" bestFit="1" customWidth="1"/>
  </cols>
  <sheetData>
    <row r="1" spans="1:12" ht="14.4" customHeight="1" x14ac:dyDescent="0.3">
      <c r="B1" s="180" t="s">
        <v>399</v>
      </c>
      <c r="C1" s="180"/>
      <c r="D1" s="180"/>
      <c r="E1" s="180"/>
      <c r="F1" s="180"/>
      <c r="G1" s="180"/>
      <c r="H1" s="176"/>
      <c r="I1" s="175"/>
      <c r="J1" s="175"/>
      <c r="K1" s="175"/>
      <c r="L1" s="175"/>
    </row>
    <row r="2" spans="1:12" ht="14.4" customHeight="1" x14ac:dyDescent="0.3">
      <c r="B2" s="180"/>
      <c r="C2" s="180"/>
      <c r="D2" s="180"/>
      <c r="E2" s="180"/>
      <c r="F2" s="180"/>
      <c r="G2" s="180"/>
      <c r="H2" s="176"/>
      <c r="I2" s="175"/>
      <c r="J2" s="175"/>
      <c r="K2" s="175"/>
      <c r="L2" s="175"/>
    </row>
    <row r="3" spans="1:12" ht="14.4" customHeight="1" x14ac:dyDescent="0.3">
      <c r="B3" s="180"/>
      <c r="C3" s="180"/>
      <c r="D3" s="180"/>
      <c r="E3" s="180"/>
      <c r="F3" s="180"/>
      <c r="G3" s="180"/>
      <c r="H3" s="176"/>
      <c r="I3" s="175"/>
      <c r="J3" s="175"/>
      <c r="K3" s="175"/>
      <c r="L3" s="175"/>
    </row>
    <row r="5" spans="1:12" x14ac:dyDescent="0.3">
      <c r="B5" s="182" t="str">
        <f>"Common Size Statement -  " &amp;'Data Sheet'!$B$1</f>
        <v>Common Size Statement -  HINDUSTAN UNILEVER LTD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</row>
    <row r="6" spans="1:12" x14ac:dyDescent="0.3">
      <c r="B6" s="10" t="s">
        <v>56</v>
      </c>
      <c r="C6" s="11">
        <f>'Data Sheet'!B16</f>
        <v>42460</v>
      </c>
      <c r="D6" s="11">
        <f>'Data Sheet'!C16</f>
        <v>42825</v>
      </c>
      <c r="E6" s="11">
        <f>'Data Sheet'!D16</f>
        <v>43190</v>
      </c>
      <c r="F6" s="11">
        <f>'Data Sheet'!E16</f>
        <v>43555</v>
      </c>
      <c r="G6" s="11">
        <f>'Data Sheet'!F16</f>
        <v>43921</v>
      </c>
      <c r="H6" s="11">
        <f>'Data Sheet'!G16</f>
        <v>44286</v>
      </c>
      <c r="I6" s="11">
        <f>'Data Sheet'!H16</f>
        <v>44651</v>
      </c>
      <c r="J6" s="11">
        <f>'Data Sheet'!I16</f>
        <v>45016</v>
      </c>
      <c r="K6" s="11">
        <f>'Data Sheet'!J16</f>
        <v>45382</v>
      </c>
      <c r="L6" s="11">
        <f>'Data Sheet'!K16</f>
        <v>45747</v>
      </c>
    </row>
    <row r="8" spans="1:12" x14ac:dyDescent="0.3">
      <c r="A8" t="s">
        <v>58</v>
      </c>
      <c r="B8" s="183" t="str">
        <f>"Common Size Income statement -  " &amp;'Data Sheet'!$B$1</f>
        <v>Common Size Income statement -  HINDUSTAN UNILEVER LTD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</row>
    <row r="10" spans="1:12" x14ac:dyDescent="0.3">
      <c r="B10" s="98" t="s">
        <v>1</v>
      </c>
      <c r="C10" s="100">
        <f>'Data Sheet'!B17/'Data Sheet'!B$17</f>
        <v>1</v>
      </c>
      <c r="D10" s="100">
        <f>'Data Sheet'!C17/'Data Sheet'!C$17</f>
        <v>1</v>
      </c>
      <c r="E10" s="100">
        <f>'Data Sheet'!D17/'Data Sheet'!D$17</f>
        <v>1</v>
      </c>
      <c r="F10" s="100">
        <f>'Data Sheet'!E17/'Data Sheet'!E$17</f>
        <v>1</v>
      </c>
      <c r="G10" s="100">
        <f>'Data Sheet'!F17/'Data Sheet'!F$17</f>
        <v>1</v>
      </c>
      <c r="H10" s="100">
        <f>'Data Sheet'!G17/'Data Sheet'!G$17</f>
        <v>1</v>
      </c>
      <c r="I10" s="100">
        <f>'Data Sheet'!H17/'Data Sheet'!H$17</f>
        <v>1</v>
      </c>
      <c r="J10" s="100">
        <f>'Data Sheet'!I17/'Data Sheet'!I$17</f>
        <v>1</v>
      </c>
      <c r="K10" s="100">
        <f>'Data Sheet'!J17/'Data Sheet'!J$17</f>
        <v>1</v>
      </c>
      <c r="L10" s="100">
        <f>'Data Sheet'!K17/'Data Sheet'!K$17</f>
        <v>1</v>
      </c>
    </row>
    <row r="11" spans="1:12" x14ac:dyDescent="0.3">
      <c r="B11" s="101" t="s">
        <v>46</v>
      </c>
      <c r="C11" s="100">
        <f>'Data Sheet'!B18/'Data Sheet'!B$17</f>
        <v>0.40961908904492639</v>
      </c>
      <c r="D11" s="100">
        <f>'Data Sheet'!C18/'Data Sheet'!C$17</f>
        <v>0.41028888486822268</v>
      </c>
      <c r="E11" s="100">
        <f>'Data Sheet'!D18/'Data Sheet'!D$17</f>
        <v>0.40042200028133351</v>
      </c>
      <c r="F11" s="100">
        <f>'Data Sheet'!E18/'Data Sheet'!E$17</f>
        <v>0.40307809717629101</v>
      </c>
      <c r="G11" s="100">
        <f>'Data Sheet'!F18/'Data Sheet'!F$17</f>
        <v>0.39456551793479627</v>
      </c>
      <c r="H11" s="100">
        <f>'Data Sheet'!G18/'Data Sheet'!G$17</f>
        <v>0.42827677128519182</v>
      </c>
      <c r="I11" s="100">
        <f>'Data Sheet'!H18/'Data Sheet'!H$17</f>
        <v>0.43608664149792165</v>
      </c>
      <c r="J11" s="100">
        <f>'Data Sheet'!I18/'Data Sheet'!I$17</f>
        <v>0.46924727632882141</v>
      </c>
      <c r="K11" s="100">
        <f>'Data Sheet'!J18/'Data Sheet'!J$17</f>
        <v>0.43333979578648057</v>
      </c>
      <c r="L11" s="100">
        <f>'Data Sheet'!K18/'Data Sheet'!K$17</f>
        <v>0.43319972750748564</v>
      </c>
    </row>
    <row r="12" spans="1:12" x14ac:dyDescent="0.3">
      <c r="B12" s="3" t="s">
        <v>47</v>
      </c>
      <c r="C12" s="91">
        <f>'Data Sheet'!B19/'Data Sheet'!B$17</f>
        <v>-2.5787609519666937E-3</v>
      </c>
      <c r="D12" s="91">
        <f>'Data Sheet'!C19/'Data Sheet'!C$17</f>
        <v>-4.3423195223448521E-3</v>
      </c>
      <c r="E12" s="91">
        <f>'Data Sheet'!D19/'Data Sheet'!D$17</f>
        <v>2.0256013504009003E-3</v>
      </c>
      <c r="F12" s="91">
        <f>'Data Sheet'!E19/'Data Sheet'!E$17</f>
        <v>-3.0526583566522515E-4</v>
      </c>
      <c r="G12" s="91">
        <f>'Data Sheet'!F19/'Data Sheet'!F$17</f>
        <v>2.7147273961239727E-3</v>
      </c>
      <c r="H12" s="91">
        <f>'Data Sheet'!G19/'Data Sheet'!G$17</f>
        <v>8.6118907884664454E-3</v>
      </c>
      <c r="I12" s="91">
        <f>'Data Sheet'!H19/'Data Sheet'!H$17</f>
        <v>4.1947908324753078E-4</v>
      </c>
      <c r="J12" s="91">
        <f>'Data Sheet'!I19/'Data Sheet'!I$17</f>
        <v>1.2380323539121821E-3</v>
      </c>
      <c r="K12" s="91">
        <f>'Data Sheet'!J19/'Data Sheet'!J$17</f>
        <v>1.7771746154840378E-4</v>
      </c>
      <c r="L12" s="91">
        <f>'Data Sheet'!K19/'Data Sheet'!K$17</f>
        <v>2.4239159709130084E-3</v>
      </c>
    </row>
    <row r="13" spans="1:12" x14ac:dyDescent="0.3">
      <c r="B13" s="3" t="s">
        <v>48</v>
      </c>
      <c r="C13" s="91">
        <f>'Data Sheet'!B20/'Data Sheet'!B$17</f>
        <v>9.6004473994904613E-3</v>
      </c>
      <c r="D13" s="91">
        <f>'Data Sheet'!C20/'Data Sheet'!C$17</f>
        <v>8.8957240214703574E-3</v>
      </c>
      <c r="E13" s="91">
        <f>'Data Sheet'!D20/'Data Sheet'!D$17</f>
        <v>8.2993388662259103E-3</v>
      </c>
      <c r="F13" s="91">
        <f>'Data Sheet'!E20/'Data Sheet'!E$17</f>
        <v>7.8351564487407783E-3</v>
      </c>
      <c r="G13" s="91">
        <f>'Data Sheet'!F20/'Data Sheet'!F$17</f>
        <v>7.5157730688987755E-3</v>
      </c>
      <c r="H13" s="91">
        <f>'Data Sheet'!G20/'Data Sheet'!G$17</f>
        <v>7.2084715488645061E-3</v>
      </c>
      <c r="I13" s="91">
        <f>'Data Sheet'!H20/'Data Sheet'!H$17</f>
        <v>6.0633794760324902E-3</v>
      </c>
      <c r="J13" s="91">
        <f>'Data Sheet'!I20/'Data Sheet'!I$17</f>
        <v>6.3387256520303732E-3</v>
      </c>
      <c r="K13" s="91">
        <f>'Data Sheet'!J20/'Data Sheet'!J$17</f>
        <v>7.2056352591443711E-3</v>
      </c>
      <c r="L13" s="91">
        <f>'Data Sheet'!K20/'Data Sheet'!K$17</f>
        <v>6.7647850952931672E-3</v>
      </c>
    </row>
    <row r="14" spans="1:12" x14ac:dyDescent="0.3">
      <c r="B14" s="3" t="s">
        <v>49</v>
      </c>
      <c r="C14" s="91">
        <f>'Data Sheet'!B21/'Data Sheet'!B$17</f>
        <v>9.21518672714845E-2</v>
      </c>
      <c r="D14" s="91">
        <f>'Data Sheet'!C21/'Data Sheet'!C$17</f>
        <v>8.7057475423677699E-2</v>
      </c>
      <c r="E14" s="91">
        <f>'Data Sheet'!D21/'Data Sheet'!D$17</f>
        <v>8.4343789562526375E-2</v>
      </c>
      <c r="F14" s="91">
        <f>'Data Sheet'!E21/'Data Sheet'!E$17</f>
        <v>7.7359450521495801E-2</v>
      </c>
      <c r="G14" s="91">
        <f>'Data Sheet'!F21/'Data Sheet'!F$17</f>
        <v>7.3046276047558006E-2</v>
      </c>
      <c r="H14" s="91">
        <f>'Data Sheet'!G21/'Data Sheet'!G$17</f>
        <v>6.0984945139066091E-2</v>
      </c>
      <c r="I14" s="91">
        <f>'Data Sheet'!H21/'Data Sheet'!H$17</f>
        <v>6.3951492964191739E-2</v>
      </c>
      <c r="J14" s="91">
        <f>'Data Sheet'!I21/'Data Sheet'!I$17</f>
        <v>6.2578408715747769E-2</v>
      </c>
      <c r="K14" s="91">
        <f>'Data Sheet'!J21/'Data Sheet'!J$17</f>
        <v>5.4688509758304249E-2</v>
      </c>
      <c r="L14" s="91">
        <f>'Data Sheet'!K21/'Data Sheet'!K$17</f>
        <v>6.074048256523186E-2</v>
      </c>
    </row>
    <row r="15" spans="1:12" x14ac:dyDescent="0.3">
      <c r="B15" s="3" t="s">
        <v>50</v>
      </c>
      <c r="C15" s="91">
        <f>'Data Sheet'!B22/'Data Sheet'!B$17</f>
        <v>5.2196607220530662E-2</v>
      </c>
      <c r="D15" s="91">
        <f>'Data Sheet'!C22/'Data Sheet'!C$17</f>
        <v>5.2560159218382488E-2</v>
      </c>
      <c r="E15" s="91">
        <f>'Data Sheet'!D22/'Data Sheet'!D$17</f>
        <v>5.2328034885356589E-2</v>
      </c>
      <c r="F15" s="91">
        <f>'Data Sheet'!E22/'Data Sheet'!E$17</f>
        <v>4.7697786822691428E-2</v>
      </c>
      <c r="G15" s="91">
        <f>'Data Sheet'!F22/'Data Sheet'!F$17</f>
        <v>4.574818389764472E-2</v>
      </c>
      <c r="H15" s="91">
        <f>'Data Sheet'!G22/'Data Sheet'!G$17</f>
        <v>5.0140341923960191E-2</v>
      </c>
      <c r="I15" s="91">
        <f>'Data Sheet'!H22/'Data Sheet'!H$17</f>
        <v>4.8526103039316627E-2</v>
      </c>
      <c r="J15" s="91">
        <f>'Data Sheet'!I22/'Data Sheet'!I$17</f>
        <v>4.7111257840871577E-2</v>
      </c>
      <c r="K15" s="91">
        <f>'Data Sheet'!J22/'Data Sheet'!J$17</f>
        <v>4.8613803799922452E-2</v>
      </c>
      <c r="L15" s="91">
        <f>'Data Sheet'!K22/'Data Sheet'!K$17</f>
        <v>4.8747643415028276E-2</v>
      </c>
    </row>
    <row r="16" spans="1:12" x14ac:dyDescent="0.3">
      <c r="B16" s="3" t="s">
        <v>51</v>
      </c>
      <c r="C16" s="91">
        <f>'Data Sheet'!B23/'Data Sheet'!B$17</f>
        <v>0.20943888647237929</v>
      </c>
      <c r="D16" s="91">
        <f>'Data Sheet'!C23/'Data Sheet'!C$17</f>
        <v>0.20170677281225499</v>
      </c>
      <c r="E16" s="91">
        <f>'Data Sheet'!D23/'Data Sheet'!D$17</f>
        <v>0.20402306934871289</v>
      </c>
      <c r="F16" s="91">
        <f>'Data Sheet'!E23/'Data Sheet'!E$17</f>
        <v>0.19832103790384126</v>
      </c>
      <c r="G16" s="91">
        <f>'Data Sheet'!F23/'Data Sheet'!F$17</f>
        <v>0.19153909961541363</v>
      </c>
      <c r="H16" s="91">
        <f>'Data Sheet'!G23/'Data Sheet'!G$17</f>
        <v>0.16811261376201411</v>
      </c>
      <c r="I16" s="91">
        <f>'Data Sheet'!H23/'Data Sheet'!H$17</f>
        <v>0.15566487434694734</v>
      </c>
      <c r="J16" s="91">
        <f>'Data Sheet'!I23/'Data Sheet'!I$17</f>
        <v>0.14501485638824696</v>
      </c>
      <c r="K16" s="91">
        <f>'Data Sheet'!J23/'Data Sheet'!J$17</f>
        <v>0.1741631123174357</v>
      </c>
      <c r="L16" s="91">
        <f>'Data Sheet'!K23/'Data Sheet'!K$17</f>
        <v>0.16940479396714248</v>
      </c>
    </row>
    <row r="17" spans="1:12" x14ac:dyDescent="0.3">
      <c r="B17" s="3" t="s">
        <v>52</v>
      </c>
      <c r="C17" s="91">
        <f>'Data Sheet'!B24/'Data Sheet'!B$17</f>
        <v>4.0794134095569499E-2</v>
      </c>
      <c r="D17" s="91">
        <f>'Data Sheet'!C24/'Data Sheet'!C$17</f>
        <v>4.4327845123937039E-2</v>
      </c>
      <c r="E17" s="91">
        <f>'Data Sheet'!D24/'Data Sheet'!D$17</f>
        <v>4.1637361091574059E-2</v>
      </c>
      <c r="F17" s="91">
        <f>'Data Sheet'!E24/'Data Sheet'!E$17</f>
        <v>3.9506486899007889E-2</v>
      </c>
      <c r="G17" s="91">
        <f>'Data Sheet'!F24/'Data Sheet'!F$17</f>
        <v>4.2430183746826534E-2</v>
      </c>
      <c r="H17" s="91">
        <f>'Data Sheet'!G24/'Data Sheet'!G$17</f>
        <v>4.6674321680700862E-2</v>
      </c>
      <c r="I17" s="91">
        <f>'Data Sheet'!H24/'Data Sheet'!H$17</f>
        <v>4.4979598062769327E-2</v>
      </c>
      <c r="J17" s="91">
        <f>'Data Sheet'!I24/'Data Sheet'!I$17</f>
        <v>3.742159128425223E-2</v>
      </c>
      <c r="K17" s="91">
        <f>'Data Sheet'!J24/'Data Sheet'!J$17</f>
        <v>4.5334108827711002E-2</v>
      </c>
      <c r="L17" s="91">
        <f>'Data Sheet'!K24/'Data Sheet'!K$17</f>
        <v>4.8414949066079432E-2</v>
      </c>
    </row>
    <row r="18" spans="1:12" x14ac:dyDescent="0.3">
      <c r="B18" s="5" t="s">
        <v>4</v>
      </c>
      <c r="C18" s="91">
        <f>'Data Sheet'!B25/'Data Sheet'!B$17</f>
        <v>1.5099732803082085E-2</v>
      </c>
      <c r="D18" s="91">
        <f>'Data Sheet'!C25/'Data Sheet'!C$17</f>
        <v>1.8273927989867923E-2</v>
      </c>
      <c r="E18" s="91">
        <f>'Data Sheet'!D25/'Data Sheet'!D$17</f>
        <v>9.9310732873821913E-3</v>
      </c>
      <c r="F18" s="91">
        <f>'Data Sheet'!E25/'Data Sheet'!E$17</f>
        <v>8.1912999236835402E-3</v>
      </c>
      <c r="G18" s="91">
        <f>'Data Sheet'!F25/'Data Sheet'!F$17</f>
        <v>1.0657818666264484E-2</v>
      </c>
      <c r="H18" s="91">
        <f>'Data Sheet'!G25/'Data Sheet'!G$17</f>
        <v>3.6148677383686313E-3</v>
      </c>
      <c r="I18" s="91">
        <f>'Data Sheet'!H25/'Data Sheet'!H$17</f>
        <v>4.1757236014186017E-3</v>
      </c>
      <c r="J18" s="91">
        <f>'Data Sheet'!I25/'Data Sheet'!I$17</f>
        <v>7.3951799273687686E-3</v>
      </c>
      <c r="K18" s="91">
        <f>'Data Sheet'!J25/'Data Sheet'!J$17</f>
        <v>1.3199560553185989E-2</v>
      </c>
      <c r="L18" s="91">
        <f>'Data Sheet'!K25/'Data Sheet'!K$17</f>
        <v>2.0943901395732007E-2</v>
      </c>
    </row>
    <row r="19" spans="1:12" x14ac:dyDescent="0.3">
      <c r="B19" s="5" t="s">
        <v>5</v>
      </c>
      <c r="C19" s="91">
        <f>'Data Sheet'!B26/'Data Sheet'!B$17</f>
        <v>1.0967501398123409E-2</v>
      </c>
      <c r="D19" s="91">
        <f>'Data Sheet'!C26/'Data Sheet'!C$17</f>
        <v>1.3026958567034558E-2</v>
      </c>
      <c r="E19" s="91">
        <f>'Data Sheet'!D26/'Data Sheet'!D$17</f>
        <v>1.4629343086228723E-2</v>
      </c>
      <c r="F19" s="91">
        <f>'Data Sheet'!E26/'Data Sheet'!E$17</f>
        <v>1.437293309590435E-2</v>
      </c>
      <c r="G19" s="91">
        <f>'Data Sheet'!F26/'Data Sheet'!F$17</f>
        <v>2.5186637508483524E-2</v>
      </c>
      <c r="H19" s="91">
        <f>'Data Sheet'!G26/'Data Sheet'!G$17</f>
        <v>2.2837458535340648E-2</v>
      </c>
      <c r="I19" s="91">
        <f>'Data Sheet'!H26/'Data Sheet'!H$17</f>
        <v>2.0802349082866187E-2</v>
      </c>
      <c r="J19" s="91">
        <f>'Data Sheet'!I26/'Data Sheet'!I$17</f>
        <v>1.8768570485308684E-2</v>
      </c>
      <c r="K19" s="91">
        <f>'Data Sheet'!J26/'Data Sheet'!J$17</f>
        <v>1.9645857567532635E-2</v>
      </c>
      <c r="L19" s="91">
        <f>'Data Sheet'!K26/'Data Sheet'!K$17</f>
        <v>2.1466706801223048E-2</v>
      </c>
    </row>
    <row r="20" spans="1:12" x14ac:dyDescent="0.3">
      <c r="B20" s="5" t="s">
        <v>6</v>
      </c>
      <c r="C20" s="91">
        <f>'Data Sheet'!B27/'Data Sheet'!B$17</f>
        <v>5.2817995401727462E-4</v>
      </c>
      <c r="D20" s="91">
        <f>'Data Sheet'!C27/'Data Sheet'!C$17</f>
        <v>1.0554248839032628E-3</v>
      </c>
      <c r="E20" s="91">
        <f>'Data Sheet'!D27/'Data Sheet'!D$17</f>
        <v>7.3146715431143621E-4</v>
      </c>
      <c r="F20" s="91">
        <f>'Data Sheet'!E27/'Data Sheet'!E$17</f>
        <v>8.3948104807936915E-4</v>
      </c>
      <c r="G20" s="91">
        <f>'Data Sheet'!F27/'Data Sheet'!F$17</f>
        <v>2.9660910439132291E-3</v>
      </c>
      <c r="H20" s="91">
        <f>'Data Sheet'!G27/'Data Sheet'!G$17</f>
        <v>2.4878795611125285E-3</v>
      </c>
      <c r="I20" s="91">
        <f>'Data Sheet'!H27/'Data Sheet'!H$17</f>
        <v>2.0211264920108303E-3</v>
      </c>
      <c r="J20" s="91">
        <f>'Data Sheet'!I27/'Data Sheet'!I$17</f>
        <v>1.881809177946517E-3</v>
      </c>
      <c r="K20" s="91">
        <f>'Data Sheet'!J27/'Data Sheet'!J$17</f>
        <v>5.3961483779242604E-3</v>
      </c>
      <c r="L20" s="91">
        <f>'Data Sheet'!K27/'Data Sheet'!K$17</f>
        <v>6.2578222778473091E-3</v>
      </c>
    </row>
    <row r="21" spans="1:12" x14ac:dyDescent="0.3">
      <c r="B21" s="1" t="s">
        <v>7</v>
      </c>
      <c r="C21" s="91">
        <f>'Data Sheet'!B28/'Data Sheet'!B$17</f>
        <v>0.18722425899459391</v>
      </c>
      <c r="D21" s="91">
        <f>'Data Sheet'!C28/'Data Sheet'!C$17</f>
        <v>0.19501236354864002</v>
      </c>
      <c r="E21" s="91">
        <f>'Data Sheet'!D28/'Data Sheet'!D$17</f>
        <v>0.20554227036151357</v>
      </c>
      <c r="F21" s="91">
        <f>'Data Sheet'!E28/'Data Sheet'!E$17</f>
        <v>0.21887560417196641</v>
      </c>
      <c r="G21" s="91">
        <f>'Data Sheet'!F28/'Data Sheet'!F$17</f>
        <v>0.23037478319885379</v>
      </c>
      <c r="H21" s="91">
        <f>'Data Sheet'!G28/'Data Sheet'!G$17</f>
        <v>0.22550395509058432</v>
      </c>
      <c r="I21" s="91">
        <f>'Data Sheet'!H28/'Data Sheet'!H$17</f>
        <v>0.22649963772260992</v>
      </c>
      <c r="J21" s="91">
        <f>'Data Sheet'!I28/'Data Sheet'!I$17</f>
        <v>0.22027071640805546</v>
      </c>
      <c r="K21" s="91">
        <f>'Data Sheet'!J28/'Data Sheet'!J$17</f>
        <v>0.22499030632027917</v>
      </c>
      <c r="L21" s="91">
        <f>'Data Sheet'!K28/'Data Sheet'!K$17</f>
        <v>0.22837090667131382</v>
      </c>
    </row>
    <row r="22" spans="1:12" x14ac:dyDescent="0.3">
      <c r="B22" s="95" t="s">
        <v>9</v>
      </c>
      <c r="C22" s="96">
        <f>'Data Sheet'!B30/'Data Sheet'!B$17</f>
        <v>0.12896911700739452</v>
      </c>
      <c r="D22" s="96">
        <f>'Data Sheet'!C30/'Data Sheet'!C$17</f>
        <v>0.13497376515288584</v>
      </c>
      <c r="E22" s="96">
        <f>'Data Sheet'!D30/'Data Sheet'!D$17</f>
        <v>0.14668729779153186</v>
      </c>
      <c r="F22" s="96">
        <f>'Data Sheet'!E30/'Data Sheet'!E$17</f>
        <v>0.15400661409310609</v>
      </c>
      <c r="G22" s="96">
        <f>'Data Sheet'!F30/'Data Sheet'!F$17</f>
        <v>0.16962018952819044</v>
      </c>
      <c r="H22" s="96">
        <f>'Data Sheet'!G30/'Data Sheet'!G$17</f>
        <v>0.17000510334268945</v>
      </c>
      <c r="I22" s="96">
        <f>'Data Sheet'!H30/'Data Sheet'!H$17</f>
        <v>0.16929794455249209</v>
      </c>
      <c r="J22" s="96">
        <f>'Data Sheet'!I30/'Data Sheet'!I$17</f>
        <v>0.16705183228788378</v>
      </c>
      <c r="K22" s="96">
        <f>'Data Sheet'!J30/'Data Sheet'!J$17</f>
        <v>0.16603657748481324</v>
      </c>
      <c r="L22" s="96">
        <f>'Data Sheet'!K30/'Data Sheet'!K$17</f>
        <v>0.16870772009315441</v>
      </c>
    </row>
    <row r="23" spans="1:12" x14ac:dyDescent="0.3">
      <c r="B23" s="5" t="s">
        <v>36</v>
      </c>
      <c r="C23" s="91">
        <f>'Data Sheet'!B31/'Data Sheet'!B$17</f>
        <v>0.10737587771080594</v>
      </c>
      <c r="D23" s="91">
        <f>'Data Sheet'!C31/'Data Sheet'!C$17</f>
        <v>0.11072914781979373</v>
      </c>
      <c r="E23" s="91">
        <f>'Data Sheet'!D31/'Data Sheet'!D$17</f>
        <v>0.12153608102405401</v>
      </c>
      <c r="F23" s="91">
        <f>'Data Sheet'!E31/'Data Sheet'!E$17</f>
        <v>0.12088527092342916</v>
      </c>
      <c r="G23" s="91">
        <f>'Data Sheet'!F31/'Data Sheet'!F$17</f>
        <v>0.13573636980619863</v>
      </c>
      <c r="H23" s="91">
        <f>'Data Sheet'!G31/'Data Sheet'!G$17</f>
        <v>0.20237943352896148</v>
      </c>
      <c r="I23" s="91">
        <f>'Data Sheet'!H31/'Data Sheet'!H$17</f>
        <v>0.15234717614308049</v>
      </c>
      <c r="J23" s="91">
        <f>'Data Sheet'!I31/'Data Sheet'!I$17</f>
        <v>0.15128755364806867</v>
      </c>
      <c r="K23" s="91">
        <f>'Data Sheet'!J31/'Data Sheet'!J$17</f>
        <v>0.1594610314075223</v>
      </c>
      <c r="L23" s="91">
        <f>'Data Sheet'!K31/'Data Sheet'!K$17</f>
        <v>0.19731943410275501</v>
      </c>
    </row>
    <row r="25" spans="1:12" x14ac:dyDescent="0.3">
      <c r="A25" t="s">
        <v>58</v>
      </c>
      <c r="B25" s="184" t="str">
        <f>"Common Size Balance Sheet -  " &amp;'Data Sheet'!$B$1</f>
        <v>Common Size Balance Sheet -  HINDUSTAN UNILEVER LTD</v>
      </c>
      <c r="C25" s="184"/>
      <c r="D25" s="184"/>
      <c r="E25" s="184"/>
      <c r="F25" s="184"/>
      <c r="G25" s="184"/>
      <c r="H25" s="184"/>
      <c r="I25" s="184"/>
      <c r="J25" s="184"/>
      <c r="K25" s="184"/>
      <c r="L25" s="184"/>
    </row>
    <row r="27" spans="1:12" x14ac:dyDescent="0.3">
      <c r="B27" s="95" t="s">
        <v>231</v>
      </c>
      <c r="C27" s="96">
        <f>'Data Sheet'!B61/'Data Sheet'!B$61</f>
        <v>1</v>
      </c>
      <c r="D27" s="96">
        <f>'Data Sheet'!C61/'Data Sheet'!C$61</f>
        <v>1</v>
      </c>
      <c r="E27" s="96">
        <f>'Data Sheet'!D61/'Data Sheet'!D$61</f>
        <v>1</v>
      </c>
      <c r="F27" s="96">
        <f>'Data Sheet'!E61/'Data Sheet'!E$61</f>
        <v>1</v>
      </c>
      <c r="G27" s="96">
        <f>'Data Sheet'!F61/'Data Sheet'!F$61</f>
        <v>1</v>
      </c>
      <c r="H27" s="96">
        <f>'Data Sheet'!G61/'Data Sheet'!G$61</f>
        <v>1</v>
      </c>
      <c r="I27" s="96">
        <f>'Data Sheet'!H61/'Data Sheet'!H$61</f>
        <v>1</v>
      </c>
      <c r="J27" s="96">
        <f>'Data Sheet'!I61/'Data Sheet'!I$61</f>
        <v>1</v>
      </c>
      <c r="K27" s="96">
        <f>'Data Sheet'!J61/'Data Sheet'!J$61</f>
        <v>1</v>
      </c>
      <c r="L27" s="96">
        <f>'Data Sheet'!K61/'Data Sheet'!K$61</f>
        <v>1</v>
      </c>
    </row>
    <row r="28" spans="1:12" x14ac:dyDescent="0.3">
      <c r="B28" s="1"/>
      <c r="C28" s="102"/>
      <c r="D28" s="102"/>
      <c r="E28" s="102"/>
      <c r="F28" s="102"/>
      <c r="G28" s="102"/>
      <c r="H28" s="102"/>
      <c r="I28" s="102"/>
      <c r="J28" s="102"/>
      <c r="K28" s="102"/>
      <c r="L28" s="102"/>
    </row>
    <row r="29" spans="1:12" x14ac:dyDescent="0.3">
      <c r="B29" s="5" t="s">
        <v>11</v>
      </c>
      <c r="C29" s="91">
        <f>'Data Sheet'!B57/'Data Sheet'!B$61</f>
        <v>1.4601500709795174E-2</v>
      </c>
      <c r="D29" s="91">
        <f>'Data Sheet'!C57/'Data Sheet'!C$61</f>
        <v>1.3752705972239909E-2</v>
      </c>
      <c r="E29" s="91">
        <f>'Data Sheet'!D57/'Data Sheet'!D$61</f>
        <v>1.2092710782667115E-2</v>
      </c>
      <c r="F29" s="91">
        <f>'Data Sheet'!E57/'Data Sheet'!E$61</f>
        <v>1.1594825272424714E-2</v>
      </c>
      <c r="G29" s="91">
        <f>'Data Sheet'!F57/'Data Sheet'!F$61</f>
        <v>1.0718007244578972E-2</v>
      </c>
      <c r="H29" s="91">
        <f>'Data Sheet'!G57/'Data Sheet'!G$61</f>
        <v>3.4186790805935409E-3</v>
      </c>
      <c r="I29" s="91">
        <f>'Data Sheet'!H57/'Data Sheet'!H$61</f>
        <v>3.3330496695316712E-3</v>
      </c>
      <c r="J29" s="91">
        <f>'Data Sheet'!I57/'Data Sheet'!I$61</f>
        <v>3.2157860886462223E-3</v>
      </c>
      <c r="K29" s="91">
        <f>'Data Sheet'!J57/'Data Sheet'!J$61</f>
        <v>2.9940501216731007E-3</v>
      </c>
      <c r="L29" s="91">
        <f>'Data Sheet'!K57/'Data Sheet'!K$61</f>
        <v>2.9425390982056772E-3</v>
      </c>
    </row>
    <row r="30" spans="1:12" x14ac:dyDescent="0.3">
      <c r="B30" s="5" t="s">
        <v>12</v>
      </c>
      <c r="C30" s="91">
        <f>'Data Sheet'!B58/'Data Sheet'!B$61</f>
        <v>0.42973027783411072</v>
      </c>
      <c r="D30" s="91">
        <f>'Data Sheet'!C58/'Data Sheet'!C$61</f>
        <v>0.41563733604991721</v>
      </c>
      <c r="E30" s="91">
        <f>'Data Sheet'!D58/'Data Sheet'!D$61</f>
        <v>0.3955324151830702</v>
      </c>
      <c r="F30" s="91">
        <f>'Data Sheet'!E58/'Data Sheet'!E$61</f>
        <v>0.41070374147834021</v>
      </c>
      <c r="G30" s="91">
        <f>'Data Sheet'!F58/'Data Sheet'!F$61</f>
        <v>0.39760829653153379</v>
      </c>
      <c r="H30" s="91">
        <f>'Data Sheet'!G58/'Data Sheet'!G$61</f>
        <v>0.69012219959266807</v>
      </c>
      <c r="I30" s="91">
        <f>'Data Sheet'!H58/'Data Sheet'!H$61</f>
        <v>0.69250843899809944</v>
      </c>
      <c r="J30" s="91">
        <f>'Data Sheet'!I58/'Data Sheet'!I$61</f>
        <v>0.68515401562735201</v>
      </c>
      <c r="K30" s="91">
        <f>'Data Sheet'!J58/'Data Sheet'!J$61</f>
        <v>0.64955598873727527</v>
      </c>
      <c r="L30" s="91">
        <f>'Data Sheet'!K58/'Data Sheet'!K$61</f>
        <v>0.6156417865594831</v>
      </c>
    </row>
    <row r="31" spans="1:12" x14ac:dyDescent="0.3">
      <c r="B31" s="5" t="s">
        <v>37</v>
      </c>
      <c r="C31" s="91">
        <f>'Data Sheet'!B59/'Data Sheet'!B$61</f>
        <v>1.1965118637193267E-2</v>
      </c>
      <c r="D31" s="91">
        <f>'Data Sheet'!C59/'Data Sheet'!C$61</f>
        <v>1.7636572010696547E-2</v>
      </c>
      <c r="E31" s="91">
        <f>'Data Sheet'!D59/'Data Sheet'!D$61</f>
        <v>0</v>
      </c>
      <c r="F31" s="91">
        <f>'Data Sheet'!E59/'Data Sheet'!E$61</f>
        <v>5.3142949165279939E-3</v>
      </c>
      <c r="G31" s="91">
        <f>'Data Sheet'!F59/'Data Sheet'!F$61</f>
        <v>0</v>
      </c>
      <c r="H31" s="91">
        <f>'Data Sheet'!G59/'Data Sheet'!G$61</f>
        <v>0</v>
      </c>
      <c r="I31" s="91">
        <f>'Data Sheet'!H59/'Data Sheet'!H$61</f>
        <v>1.4793067256687375E-2</v>
      </c>
      <c r="J31" s="91">
        <f>'Data Sheet'!I59/'Data Sheet'!I$61</f>
        <v>1.668103507259466E-2</v>
      </c>
      <c r="K31" s="91">
        <f>'Data Sheet'!J59/'Data Sheet'!J$61</f>
        <v>1.8907108002395239E-2</v>
      </c>
      <c r="L31" s="91">
        <f>'Data Sheet'!K59/'Data Sheet'!K$61</f>
        <v>2.0635338016353005E-2</v>
      </c>
    </row>
    <row r="32" spans="1:12" x14ac:dyDescent="0.3">
      <c r="B32" s="5" t="s">
        <v>38</v>
      </c>
      <c r="C32" s="91">
        <f>'Data Sheet'!B60/'Data Sheet'!B$61</f>
        <v>0.54370310281890089</v>
      </c>
      <c r="D32" s="91">
        <f>'Data Sheet'!C60/'Data Sheet'!C$61</f>
        <v>0.55297338596714629</v>
      </c>
      <c r="E32" s="91">
        <f>'Data Sheet'!D60/'Data Sheet'!D$61</f>
        <v>0.5923748740342627</v>
      </c>
      <c r="F32" s="91">
        <f>'Data Sheet'!E60/'Data Sheet'!E$61</f>
        <v>0.57238713833270705</v>
      </c>
      <c r="G32" s="91">
        <f>'Data Sheet'!F60/'Data Sheet'!F$61</f>
        <v>0.59167369622388721</v>
      </c>
      <c r="H32" s="91">
        <f>'Data Sheet'!G60/'Data Sheet'!G$61</f>
        <v>0.30645912132673842</v>
      </c>
      <c r="I32" s="91">
        <f>'Data Sheet'!H60/'Data Sheet'!H$61</f>
        <v>0.28936544407568149</v>
      </c>
      <c r="J32" s="91">
        <f>'Data Sheet'!I60/'Data Sheet'!I$61</f>
        <v>0.29494916321140713</v>
      </c>
      <c r="K32" s="91">
        <f>'Data Sheet'!J60/'Data Sheet'!J$61</f>
        <v>0.32854285313865639</v>
      </c>
      <c r="L32" s="91">
        <f>'Data Sheet'!K60/'Data Sheet'!K$61</f>
        <v>0.36078033632595818</v>
      </c>
    </row>
    <row r="33" spans="2:12" x14ac:dyDescent="0.3">
      <c r="B33" s="5"/>
      <c r="C33" s="91"/>
      <c r="D33" s="91"/>
      <c r="E33" s="91"/>
      <c r="F33" s="91"/>
      <c r="G33" s="91"/>
      <c r="H33" s="91"/>
      <c r="I33" s="91"/>
      <c r="J33" s="91"/>
      <c r="K33" s="91"/>
      <c r="L33" s="91"/>
    </row>
    <row r="34" spans="2:12" x14ac:dyDescent="0.3">
      <c r="B34" s="97" t="s">
        <v>82</v>
      </c>
      <c r="C34" s="71">
        <f t="shared" ref="C34:L34" si="0">C44+C40</f>
        <v>1</v>
      </c>
      <c r="D34" s="71">
        <f t="shared" si="0"/>
        <v>1</v>
      </c>
      <c r="E34" s="71">
        <f t="shared" si="0"/>
        <v>1</v>
      </c>
      <c r="F34" s="71">
        <f t="shared" si="0"/>
        <v>1</v>
      </c>
      <c r="G34" s="71">
        <f t="shared" si="0"/>
        <v>1</v>
      </c>
      <c r="H34" s="71">
        <f t="shared" si="0"/>
        <v>1</v>
      </c>
      <c r="I34" s="71">
        <f t="shared" si="0"/>
        <v>1</v>
      </c>
      <c r="J34" s="71">
        <f t="shared" si="0"/>
        <v>1</v>
      </c>
      <c r="K34" s="71">
        <f t="shared" si="0"/>
        <v>1</v>
      </c>
      <c r="L34" s="71">
        <f t="shared" si="0"/>
        <v>1</v>
      </c>
    </row>
    <row r="35" spans="2:12" x14ac:dyDescent="0.3">
      <c r="B35" s="1"/>
    </row>
    <row r="36" spans="2:12" x14ac:dyDescent="0.3">
      <c r="B36" s="5" t="s">
        <v>14</v>
      </c>
      <c r="C36" s="91">
        <f>'Data Sheet'!B62/'Data Sheet'!B$66</f>
        <v>0.22023930237274386</v>
      </c>
      <c r="D36" s="91">
        <f>'Data Sheet'!C62/'Data Sheet'!C$66</f>
        <v>0.2813574430154081</v>
      </c>
      <c r="E36" s="91">
        <f>'Data Sheet'!D62/'Data Sheet'!D$66</f>
        <v>0.25349904825887359</v>
      </c>
      <c r="F36" s="91">
        <f>'Data Sheet'!E62/'Data Sheet'!E$66</f>
        <v>0.25310000536797467</v>
      </c>
      <c r="G36" s="91">
        <f>'Data Sheet'!F62/'Data Sheet'!F$66</f>
        <v>0.27187019302337123</v>
      </c>
      <c r="H36" s="91">
        <f>'Data Sheet'!G62/'Data Sheet'!G$66</f>
        <v>0.74837067209775965</v>
      </c>
      <c r="I36" s="91">
        <f>'Data Sheet'!H62/'Data Sheet'!H$66</f>
        <v>0.73005134314810083</v>
      </c>
      <c r="J36" s="91">
        <f>'Data Sheet'!I62/'Data Sheet'!I$66</f>
        <v>0.720856083309386</v>
      </c>
      <c r="K36" s="91">
        <f>'Data Sheet'!J62/'Data Sheet'!J$66</f>
        <v>0.68473289250723035</v>
      </c>
      <c r="L36" s="91">
        <f>'Data Sheet'!K62/'Data Sheet'!K$66</f>
        <v>0.68035260383406582</v>
      </c>
    </row>
    <row r="37" spans="2:12" x14ac:dyDescent="0.3">
      <c r="B37" s="5" t="s">
        <v>15</v>
      </c>
      <c r="C37" s="91">
        <f>'Data Sheet'!B63/'Data Sheet'!B$66</f>
        <v>2.7580612451835327E-2</v>
      </c>
      <c r="D37" s="91">
        <f>'Data Sheet'!C63/'Data Sheet'!C$66</f>
        <v>1.458041512797657E-2</v>
      </c>
      <c r="E37" s="91">
        <f>'Data Sheet'!D63/'Data Sheet'!D$66</f>
        <v>2.5808979957451572E-2</v>
      </c>
      <c r="F37" s="91">
        <f>'Data Sheet'!E63/'Data Sheet'!E$66</f>
        <v>2.1793977132427936E-2</v>
      </c>
      <c r="G37" s="91">
        <f>'Data Sheet'!F63/'Data Sheet'!F$66</f>
        <v>2.9623381134322432E-2</v>
      </c>
      <c r="H37" s="91">
        <f>'Data Sheet'!G63/'Data Sheet'!G$66</f>
        <v>1.0837940064009311E-2</v>
      </c>
      <c r="I37" s="91">
        <f>'Data Sheet'!H63/'Data Sheet'!H$66</f>
        <v>1.8622528579128019E-2</v>
      </c>
      <c r="J37" s="91">
        <f>'Data Sheet'!I63/'Data Sheet'!I$66</f>
        <v>1.5490510009989463E-2</v>
      </c>
      <c r="K37" s="91">
        <f>'Data Sheet'!J63/'Data Sheet'!J$66</f>
        <v>1.305915478602097E-2</v>
      </c>
      <c r="L37" s="91">
        <f>'Data Sheet'!K63/'Data Sheet'!K$66</f>
        <v>1.263413595782778E-2</v>
      </c>
    </row>
    <row r="38" spans="2:12" x14ac:dyDescent="0.3">
      <c r="B38" s="5" t="s">
        <v>16</v>
      </c>
      <c r="C38" s="91">
        <f>'Data Sheet'!B64/'Data Sheet'!B$66</f>
        <v>0.17521800851754207</v>
      </c>
      <c r="D38" s="91">
        <f>'Data Sheet'!C64/'Data Sheet'!C$66</f>
        <v>0.24156373360499173</v>
      </c>
      <c r="E38" s="91">
        <f>'Data Sheet'!D64/'Data Sheet'!D$66</f>
        <v>0.16084425036390101</v>
      </c>
      <c r="F38" s="91">
        <f>'Data Sheet'!E64/'Data Sheet'!E$66</f>
        <v>0.14579419185141446</v>
      </c>
      <c r="G38" s="91">
        <f>'Data Sheet'!F64/'Data Sheet'!F$66</f>
        <v>6.2273606907160224E-2</v>
      </c>
      <c r="H38" s="91">
        <f>'Data Sheet'!G64/'Data Sheet'!G$66</f>
        <v>3.9409368635437883E-2</v>
      </c>
      <c r="I38" s="91">
        <f>'Data Sheet'!H64/'Data Sheet'!H$66</f>
        <v>4.9939012282642609E-2</v>
      </c>
      <c r="J38" s="91">
        <f>'Data Sheet'!I64/'Data Sheet'!I$66</f>
        <v>3.9437853223312398E-2</v>
      </c>
      <c r="K38" s="91">
        <f>'Data Sheet'!J64/'Data Sheet'!J$66</f>
        <v>5.8925454522289748E-2</v>
      </c>
      <c r="L38" s="91">
        <f>'Data Sheet'!K64/'Data Sheet'!K$66</f>
        <v>4.7706697719845238E-2</v>
      </c>
    </row>
    <row r="39" spans="2:12" x14ac:dyDescent="0.3">
      <c r="B39" s="5" t="s">
        <v>39</v>
      </c>
      <c r="C39" s="91">
        <f>('Data Sheet'!B65-SUM('Data Sheet'!B67:B69))/'Data Sheet'!B$66</f>
        <v>0.10383289393632124</v>
      </c>
      <c r="D39" s="91">
        <f>('Data Sheet'!C65-SUM('Data Sheet'!C67:C69))/'Data Sheet'!C$66</f>
        <v>0.1152425824525659</v>
      </c>
      <c r="E39" s="91">
        <f>('Data Sheet'!D65-SUM('Data Sheet'!D67:D69))/'Data Sheet'!D$66</f>
        <v>0.15071100660620312</v>
      </c>
      <c r="F39" s="91">
        <f>('Data Sheet'!E65-SUM('Data Sheet'!E67:E69))/'Data Sheet'!E$66</f>
        <v>0.14198292984057115</v>
      </c>
      <c r="G39" s="91">
        <f>('Data Sheet'!F65-SUM('Data Sheet'!F67:F69))/'Data Sheet'!F$66</f>
        <v>0.18821019203096312</v>
      </c>
      <c r="H39" s="91">
        <f>('Data Sheet'!G65-SUM('Data Sheet'!G67:G69))/'Data Sheet'!G$66</f>
        <v>5.8699447192318885E-2</v>
      </c>
      <c r="I39" s="91">
        <f>('Data Sheet'!H65-SUM('Data Sheet'!H67:H69))/'Data Sheet'!H$66</f>
        <v>5.7030607324199359E-2</v>
      </c>
      <c r="J39" s="91">
        <f>('Data Sheet'!I65-SUM('Data Sheet'!I67:I69))/'Data Sheet'!I$66</f>
        <v>5.9895726425551132E-2</v>
      </c>
      <c r="K39" s="91">
        <f>('Data Sheet'!J65-SUM('Data Sheet'!J67:J69))/'Data Sheet'!J$66</f>
        <v>5.7549465530201682E-2</v>
      </c>
      <c r="L39" s="91">
        <f>('Data Sheet'!K65-SUM('Data Sheet'!K67:K69))/'Data Sheet'!K$66</f>
        <v>6.1618020860723988E-2</v>
      </c>
    </row>
    <row r="40" spans="2:12" x14ac:dyDescent="0.3">
      <c r="B40" s="98" t="s">
        <v>230</v>
      </c>
      <c r="C40" s="35">
        <f>SUM(C36:C39)</f>
        <v>0.52687081727844254</v>
      </c>
      <c r="D40" s="35">
        <f t="shared" ref="D40:L40" si="1">SUM(D36:D39)</f>
        <v>0.65274417420094233</v>
      </c>
      <c r="E40" s="35">
        <f t="shared" si="1"/>
        <v>0.59086328518642928</v>
      </c>
      <c r="F40" s="35">
        <f t="shared" si="1"/>
        <v>0.56267110419238819</v>
      </c>
      <c r="G40" s="35">
        <f t="shared" si="1"/>
        <v>0.55197737309581707</v>
      </c>
      <c r="H40" s="35">
        <f t="shared" si="1"/>
        <v>0.8573174279895257</v>
      </c>
      <c r="I40" s="35">
        <f t="shared" si="1"/>
        <v>0.85564349133407092</v>
      </c>
      <c r="J40" s="35">
        <f t="shared" si="1"/>
        <v>0.83568017296823904</v>
      </c>
      <c r="K40" s="35">
        <f t="shared" si="1"/>
        <v>0.81426696734574266</v>
      </c>
      <c r="L40" s="35">
        <f t="shared" si="1"/>
        <v>0.80231145837246287</v>
      </c>
    </row>
    <row r="41" spans="2:12" x14ac:dyDescent="0.3">
      <c r="B41" s="5" t="s">
        <v>44</v>
      </c>
      <c r="C41" s="4">
        <f>'Data Sheet'!B67/'Data Sheet'!B$66</f>
        <v>8.5445818968431009E-2</v>
      </c>
      <c r="D41" s="4">
        <f>'Data Sheet'!C67/'Data Sheet'!C$66</f>
        <v>6.9081879536482871E-2</v>
      </c>
      <c r="E41" s="4">
        <f>'Data Sheet'!D67/'Data Sheet'!D$66</f>
        <v>7.3340051505990364E-2</v>
      </c>
      <c r="F41" s="4">
        <f>'Data Sheet'!E67/'Data Sheet'!E$66</f>
        <v>9.748241988297815E-2</v>
      </c>
      <c r="G41" s="4">
        <f>'Data Sheet'!F67/'Data Sheet'!F$66</f>
        <v>5.7013844092690912E-2</v>
      </c>
      <c r="H41" s="4">
        <f>'Data Sheet'!G67/'Data Sheet'!G$66</f>
        <v>2.5574629036950829E-2</v>
      </c>
      <c r="I41" s="4">
        <f>'Data Sheet'!H67/'Data Sheet'!H$66</f>
        <v>3.1713613025841775E-2</v>
      </c>
      <c r="J41" s="4">
        <f>'Data Sheet'!I67/'Data Sheet'!I$66</f>
        <v>4.2133639859326465E-2</v>
      </c>
      <c r="K41" s="4">
        <f>'Data Sheet'!J67/'Data Sheet'!J$66</f>
        <v>3.8183694530443756E-2</v>
      </c>
      <c r="L41" s="4">
        <f>'Data Sheet'!K67/'Data Sheet'!K$66</f>
        <v>4.781939070658503E-2</v>
      </c>
    </row>
    <row r="42" spans="2:12" x14ac:dyDescent="0.3">
      <c r="B42" s="5" t="s">
        <v>30</v>
      </c>
      <c r="C42" s="4">
        <f>'Data Sheet'!B68/'Data Sheet'!B$66</f>
        <v>0.18427634692084094</v>
      </c>
      <c r="D42" s="4">
        <f>'Data Sheet'!C68/'Data Sheet'!C$66</f>
        <v>0.16178530497898891</v>
      </c>
      <c r="E42" s="4">
        <f>'Data Sheet'!D68/'Data Sheet'!D$66</f>
        <v>0.14068973239278917</v>
      </c>
      <c r="F42" s="4">
        <f>'Data Sheet'!E68/'Data Sheet'!E$66</f>
        <v>0.13817166782972784</v>
      </c>
      <c r="G42" s="4">
        <f>'Data Sheet'!F68/'Data Sheet'!F$66</f>
        <v>0.13729965761921303</v>
      </c>
      <c r="H42" s="4">
        <f>'Data Sheet'!G68/'Data Sheet'!G$66</f>
        <v>5.2065755018911843E-2</v>
      </c>
      <c r="I42" s="4">
        <f>'Data Sheet'!H68/'Data Sheet'!H$66</f>
        <v>5.8094346580432873E-2</v>
      </c>
      <c r="J42" s="4">
        <f>'Data Sheet'!I68/'Data Sheet'!I$66</f>
        <v>5.8171517714191878E-2</v>
      </c>
      <c r="K42" s="4">
        <f>'Data Sheet'!J68/'Data Sheet'!J$66</f>
        <v>5.1242849316464729E-2</v>
      </c>
      <c r="L42" s="4">
        <f>'Data Sheet'!K68/'Data Sheet'!K$66</f>
        <v>5.5282170717353467E-2</v>
      </c>
    </row>
    <row r="43" spans="2:12" x14ac:dyDescent="0.3">
      <c r="B43" s="3" t="s">
        <v>53</v>
      </c>
      <c r="C43" s="4">
        <f>'Data Sheet'!B69/'Data Sheet'!B$66</f>
        <v>0.20340701683228554</v>
      </c>
      <c r="D43" s="4">
        <f>'Data Sheet'!C69/'Data Sheet'!C$66</f>
        <v>0.11638864128358589</v>
      </c>
      <c r="E43" s="4">
        <f>'Data Sheet'!D69/'Data Sheet'!D$66</f>
        <v>0.19510693091479117</v>
      </c>
      <c r="F43" s="4">
        <f>'Data Sheet'!E69/'Data Sheet'!E$66</f>
        <v>0.20167480809490579</v>
      </c>
      <c r="G43" s="4">
        <f>'Data Sheet'!F69/'Data Sheet'!F$66</f>
        <v>0.25370912519227906</v>
      </c>
      <c r="H43" s="4">
        <f>'Data Sheet'!G69/'Data Sheet'!G$66</f>
        <v>6.5042187954611586E-2</v>
      </c>
      <c r="I43" s="4">
        <f>'Data Sheet'!H69/'Data Sheet'!H$66</f>
        <v>5.4548549059654498E-2</v>
      </c>
      <c r="J43" s="4">
        <f>'Data Sheet'!I69/'Data Sheet'!I$66</f>
        <v>6.4014669458242676E-2</v>
      </c>
      <c r="K43" s="4">
        <f>'Data Sheet'!J69/'Data Sheet'!J$66</f>
        <v>9.6306488807348795E-2</v>
      </c>
      <c r="L43" s="4">
        <f>'Data Sheet'!K69/'Data Sheet'!K$66</f>
        <v>9.4586980203598667E-2</v>
      </c>
    </row>
    <row r="44" spans="2:12" x14ac:dyDescent="0.3">
      <c r="B44" s="99" t="s">
        <v>84</v>
      </c>
      <c r="C44" s="35">
        <f>SUM('Data Sheet'!B67:B69)/'Data Sheet'!B66</f>
        <v>0.47312918272155752</v>
      </c>
      <c r="D44" s="35">
        <f>SUM('Data Sheet'!C67:C69)/'Data Sheet'!C66</f>
        <v>0.34725582579905767</v>
      </c>
      <c r="E44" s="35">
        <f>SUM('Data Sheet'!D67:D69)/'Data Sheet'!D66</f>
        <v>0.40913671481357072</v>
      </c>
      <c r="F44" s="35">
        <f>SUM('Data Sheet'!E67:E69)/'Data Sheet'!E66</f>
        <v>0.43732889580761181</v>
      </c>
      <c r="G44" s="35">
        <f>SUM('Data Sheet'!F67:F69)/'Data Sheet'!F66</f>
        <v>0.44802262690418299</v>
      </c>
      <c r="H44" s="35">
        <f>SUM('Data Sheet'!G67:G69)/'Data Sheet'!G66</f>
        <v>0.14268257201047424</v>
      </c>
      <c r="I44" s="35">
        <f>SUM('Data Sheet'!H67:H69)/'Data Sheet'!H66</f>
        <v>0.14435650866592914</v>
      </c>
      <c r="J44" s="35">
        <f>SUM('Data Sheet'!I67:I69)/'Data Sheet'!I66</f>
        <v>0.16431982703176101</v>
      </c>
      <c r="K44" s="35">
        <f>SUM('Data Sheet'!J67:J69)/'Data Sheet'!J66</f>
        <v>0.18573303265425728</v>
      </c>
      <c r="L44" s="35">
        <f>SUM('Data Sheet'!K67:K69)/'Data Sheet'!K66</f>
        <v>0.19768854162753716</v>
      </c>
    </row>
  </sheetData>
  <mergeCells count="4">
    <mergeCell ref="B5:L5"/>
    <mergeCell ref="B8:L8"/>
    <mergeCell ref="B25:L25"/>
    <mergeCell ref="B1:G3"/>
  </mergeCells>
  <pageMargins left="0.25" right="0.25" top="0.75" bottom="0.75" header="0.3" footer="0.3"/>
  <pageSetup scale="9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BD9F-A28A-466A-9907-DBA7A44D83B3}">
  <sheetPr>
    <pageSetUpPr fitToPage="1"/>
  </sheetPr>
  <dimension ref="B1:O45"/>
  <sheetViews>
    <sheetView showGridLines="0" zoomScale="85" zoomScaleNormal="85" workbookViewId="0">
      <pane ySplit="6" topLeftCell="A21" activePane="bottomLeft" state="frozen"/>
      <selection pane="bottomLeft" activeCell="B1" sqref="B1:O44"/>
    </sheetView>
  </sheetViews>
  <sheetFormatPr defaultRowHeight="14.4" x14ac:dyDescent="0.3"/>
  <cols>
    <col min="1" max="1" width="1.88671875" customWidth="1"/>
    <col min="2" max="2" width="23.332031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  <col min="7" max="8" width="12" bestFit="1" customWidth="1"/>
    <col min="9" max="12" width="12.6640625" bestFit="1" customWidth="1"/>
    <col min="13" max="13" width="19.5546875" customWidth="1"/>
  </cols>
  <sheetData>
    <row r="1" spans="2:15" ht="14.4" customHeight="1" x14ac:dyDescent="0.3">
      <c r="B1" s="180" t="s">
        <v>399</v>
      </c>
      <c r="C1" s="180"/>
      <c r="D1" s="180"/>
      <c r="E1" s="180"/>
      <c r="F1" s="180"/>
      <c r="G1" s="180"/>
      <c r="H1" s="175"/>
      <c r="I1" s="175"/>
      <c r="J1" s="175"/>
      <c r="K1" s="176"/>
      <c r="L1" s="175"/>
      <c r="M1" s="175"/>
      <c r="N1" s="175"/>
      <c r="O1" s="175"/>
    </row>
    <row r="2" spans="2:15" ht="14.4" customHeight="1" x14ac:dyDescent="0.3">
      <c r="B2" s="180"/>
      <c r="C2" s="180"/>
      <c r="D2" s="180"/>
      <c r="E2" s="180"/>
      <c r="F2" s="180"/>
      <c r="G2" s="180"/>
      <c r="H2" s="175"/>
      <c r="I2" s="175"/>
      <c r="J2" s="175"/>
      <c r="K2" s="176"/>
      <c r="L2" s="175"/>
      <c r="M2" s="175"/>
      <c r="N2" s="175"/>
      <c r="O2" s="175"/>
    </row>
    <row r="3" spans="2:15" ht="14.4" customHeight="1" x14ac:dyDescent="0.3">
      <c r="B3" s="180"/>
      <c r="C3" s="180"/>
      <c r="D3" s="180"/>
      <c r="E3" s="180"/>
      <c r="F3" s="180"/>
      <c r="G3" s="180"/>
      <c r="H3" s="175"/>
      <c r="I3" s="175"/>
      <c r="J3" s="175"/>
      <c r="K3" s="176"/>
      <c r="L3" s="175"/>
      <c r="M3" s="175"/>
      <c r="N3" s="175"/>
      <c r="O3" s="175"/>
    </row>
    <row r="5" spans="2:15" ht="21" x14ac:dyDescent="0.4">
      <c r="B5" s="185" t="str">
        <f>"Ratio Analysis -  " &amp;'Data Sheet'!B1</f>
        <v>Ratio Analysis -  HINDUSTAN UNILEVER LTD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</row>
    <row r="6" spans="2:15" x14ac:dyDescent="0.3">
      <c r="B6" s="10" t="s">
        <v>56</v>
      </c>
      <c r="C6" s="11">
        <f>'Data Sheet'!B16</f>
        <v>42460</v>
      </c>
      <c r="D6" s="11">
        <f>'Data Sheet'!C16</f>
        <v>42825</v>
      </c>
      <c r="E6" s="11">
        <f>'Data Sheet'!D16</f>
        <v>43190</v>
      </c>
      <c r="F6" s="11">
        <f>'Data Sheet'!E16</f>
        <v>43555</v>
      </c>
      <c r="G6" s="11">
        <f>'Data Sheet'!F16</f>
        <v>43921</v>
      </c>
      <c r="H6" s="11">
        <f>'Data Sheet'!G16</f>
        <v>44286</v>
      </c>
      <c r="I6" s="11">
        <f>'Data Sheet'!H16</f>
        <v>44651</v>
      </c>
      <c r="J6" s="11">
        <f>'Data Sheet'!I16</f>
        <v>45016</v>
      </c>
      <c r="K6" s="11">
        <f>'Data Sheet'!J16</f>
        <v>45382</v>
      </c>
      <c r="L6" s="11">
        <f>'Data Sheet'!K16</f>
        <v>45747</v>
      </c>
      <c r="M6" s="44" t="s">
        <v>147</v>
      </c>
      <c r="N6" s="44" t="s">
        <v>145</v>
      </c>
      <c r="O6" s="44" t="s">
        <v>146</v>
      </c>
    </row>
    <row r="7" spans="2:15" x14ac:dyDescent="0.3">
      <c r="B7" s="34"/>
      <c r="C7" s="34"/>
      <c r="D7" s="34"/>
      <c r="E7" s="34"/>
      <c r="F7" s="34"/>
      <c r="G7" s="34"/>
      <c r="H7" s="34"/>
      <c r="I7" s="34"/>
      <c r="J7" s="34"/>
      <c r="K7" s="34"/>
    </row>
    <row r="8" spans="2:15" x14ac:dyDescent="0.3">
      <c r="B8" t="s">
        <v>10</v>
      </c>
      <c r="D8" s="4">
        <f>IFERROR(Historicals!D11,0)</f>
        <v>3.03237432424035E-2</v>
      </c>
      <c r="E8" s="4">
        <f>IFERROR(Historicals!E11,0)</f>
        <v>7.1859357095470644E-2</v>
      </c>
      <c r="F8" s="4">
        <f>IFERROR(Historicals!F11,0)</f>
        <v>0.1059220706147137</v>
      </c>
      <c r="G8" s="4">
        <f>IFERROR(Historicals!G11,0)</f>
        <v>1.2032561689137689E-2</v>
      </c>
      <c r="H8" s="4">
        <f>IFERROR(Historicals!H11,0)</f>
        <v>0.18211296282331646</v>
      </c>
      <c r="I8" s="4">
        <f>IFERROR(Historicals!I11,0)</f>
        <v>0.11520796121459553</v>
      </c>
      <c r="J8" s="4">
        <f>IFERROR(Historicals!J11,0)</f>
        <v>0.15509285741524614</v>
      </c>
      <c r="K8" s="4">
        <f>IFERROR(Historicals!K11,0)</f>
        <v>2.1723341036645749E-2</v>
      </c>
      <c r="L8" s="35">
        <f>IFERROR(Historicals!L11,0)</f>
        <v>1.9791262763344974E-2</v>
      </c>
      <c r="M8" s="33"/>
      <c r="N8" s="36">
        <f>IFERROR(AVERAGE(D8:L8),0)</f>
        <v>7.9340679766097155E-2</v>
      </c>
      <c r="O8" s="35">
        <f>IFERROR(MEDIAN(D8:L8),0)</f>
        <v>7.1859357095470644E-2</v>
      </c>
    </row>
    <row r="9" spans="2:15" x14ac:dyDescent="0.3">
      <c r="B9" t="s">
        <v>115</v>
      </c>
      <c r="D9" s="4">
        <f>IFERROR(Historicals!D22/Historicals!C22-1,0)</f>
        <v>7.0727580372250465E-2</v>
      </c>
      <c r="E9" s="4">
        <f>IFERROR(Historicals!E22/Historicals!D22-1,0)</f>
        <v>0.1850505689001265</v>
      </c>
      <c r="F9" s="4">
        <f>IFERROR(Historicals!F22/Historicals!E22-1,0)</f>
        <v>0.1841578877183625</v>
      </c>
      <c r="G9" s="4">
        <f>IFERROR(Historicals!G22/Historicals!F22-1,0)</f>
        <v>0.11047297297297298</v>
      </c>
      <c r="H9" s="4">
        <f>IFERROR(Historicals!H22/Historicals!G22-1,0)</f>
        <v>0.1789879322583916</v>
      </c>
      <c r="I9" s="4">
        <f>IFERROR(Historicals!I22/Historicals!H22-1,0)</f>
        <v>0.10588336487183891</v>
      </c>
      <c r="J9" s="4">
        <f>IFERROR(Historicals!J22/Historicals!I22-1,0)</f>
        <v>0.10033444816053505</v>
      </c>
      <c r="K9" s="4">
        <f>IFERROR(Historicals!K22/Historicals!J22-1,0)</f>
        <v>3.6191418675337594E-2</v>
      </c>
      <c r="L9" s="4">
        <f>IFERROR(Historicals!L22/Historicals!K22-1,0)</f>
        <v>1.255201582645471E-2</v>
      </c>
      <c r="N9" s="37">
        <f t="shared" ref="N9:N13" si="0">IFERROR(AVERAGE(D9:L9),0)</f>
        <v>0.10937313219514115</v>
      </c>
      <c r="O9" s="4">
        <f t="shared" ref="O9:O13" si="1">IFERROR(MEDIAN(D9:L9),0)</f>
        <v>0.10588336487183891</v>
      </c>
    </row>
    <row r="10" spans="2:15" x14ac:dyDescent="0.3">
      <c r="B10" t="s">
        <v>118</v>
      </c>
      <c r="D10" s="4">
        <f>IFERROR((Historicals!D22-Historicals!D28)/(Historicals!C22-Historicals!C28)-1,0)</f>
        <v>6.1004138923879792E-2</v>
      </c>
      <c r="E10" s="4">
        <f>IFERROR((Historicals!E22-Historicals!E28)/(Historicals!D22-Historicals!D28)-1,0)</f>
        <v>0.18368385345997296</v>
      </c>
      <c r="F10" s="4">
        <f>IFERROR((Historicals!F22-Historicals!F28)/(Historicals!E22-Historicals!E28)-1,0)</f>
        <v>0.19143143716864874</v>
      </c>
      <c r="G10" s="4">
        <f>IFERROR((Historicals!G22-Historicals!G28)/(Historicals!F22-Historicals!F28)-1,0)</f>
        <v>6.5423932651833994E-2</v>
      </c>
      <c r="H10" s="4">
        <f>IFERROR((Historicals!H22-Historicals!H28)/(Historicals!G22-Historicals!G28)-1,0)</f>
        <v>0.19110509086804384</v>
      </c>
      <c r="I10" s="4">
        <f>IFERROR((Historicals!I22-Historicals!I28)/(Historicals!H22-Historicals!H28)-1,0)</f>
        <v>0.11504927975739188</v>
      </c>
      <c r="J10" s="4">
        <f>IFERROR((Historicals!J22-Historicals!J28)/(Historicals!I22-Historicals!I28)-1,0)</f>
        <v>0.10572836987931322</v>
      </c>
      <c r="K10" s="4">
        <f>IFERROR((Historicals!K22-Historicals!K28)/(Historicals!J22-Historicals!J28)-1,0)</f>
        <v>3.3282090699461975E-2</v>
      </c>
      <c r="L10" s="4">
        <f>IFERROR((Historicals!L22-Historicals!L28)/(Historicals!K22-Historicals!K28)-1,0)</f>
        <v>3.3474670832402964E-3</v>
      </c>
      <c r="N10" s="37">
        <f t="shared" si="0"/>
        <v>0.10556174005464297</v>
      </c>
      <c r="O10" s="4">
        <f t="shared" si="1"/>
        <v>0.10572836987931322</v>
      </c>
    </row>
    <row r="11" spans="2:15" x14ac:dyDescent="0.3">
      <c r="B11" t="s">
        <v>116</v>
      </c>
      <c r="D11" s="4">
        <f>IFERROR(Historicals!D31/Historicals!C31-1,0)</f>
        <v>5.794223826714795E-2</v>
      </c>
      <c r="E11" s="4">
        <f>IFERROR(Historicals!E31/Historicals!D31-1,0)</f>
        <v>0.18631632827162603</v>
      </c>
      <c r="F11" s="4">
        <f>IFERROR(Historicals!F31/Historicals!E31-1,0)</f>
        <v>0.19114051488566086</v>
      </c>
      <c r="G11" s="4">
        <f>IFERROR(Historicals!G31/Historicals!F31-1,0)</f>
        <v>5.5421395798116446E-2</v>
      </c>
      <c r="H11" s="4">
        <f>IFERROR(Historicals!H31/Historicals!G31-1,0)</f>
        <v>0.19379933646035918</v>
      </c>
      <c r="I11" s="4">
        <f>IFERROR(Historicals!I31/Historicals!H31-1,0)</f>
        <v>0.11739338763775753</v>
      </c>
      <c r="J11" s="4">
        <f>IFERROR(Historicals!J31/Historicals!I31-1,0)</f>
        <v>0.10600343053173233</v>
      </c>
      <c r="K11" s="4">
        <f>IFERROR(Historicals!K31/Historicals!J31-1,0)</f>
        <v>1.6516749379652529E-2</v>
      </c>
      <c r="L11" s="4">
        <f>IFERROR(Historicals!L31/Historicals!K31-1,0)</f>
        <v>-1.2205355099550452E-3</v>
      </c>
      <c r="N11" s="37">
        <f t="shared" si="0"/>
        <v>0.10259031619134421</v>
      </c>
      <c r="O11" s="4">
        <f t="shared" si="1"/>
        <v>0.10600343053173233</v>
      </c>
    </row>
    <row r="12" spans="2:15" x14ac:dyDescent="0.3">
      <c r="B12" t="s">
        <v>117</v>
      </c>
      <c r="D12" s="4">
        <f>IFERROR(Historicals!D37/Historicals!C37-1,0)</f>
        <v>5.9754433833560716E-2</v>
      </c>
      <c r="E12" s="4">
        <f>IFERROR(Historicals!E37/Historicals!D37-1,0)</f>
        <v>0.2548918640576725</v>
      </c>
      <c r="F12" s="4">
        <f>IFERROR(Historicals!F37/Historicals!E37-1,0)</f>
        <v>0.17726713171932706</v>
      </c>
      <c r="G12" s="4">
        <f>IFERROR(Historicals!G37/Historicals!F37-1,0)</f>
        <v>0.10352039037992333</v>
      </c>
      <c r="H12" s="4">
        <f>IFERROR(Historicals!H37/Historicals!G37-1,0)</f>
        <v>0.23641819330385339</v>
      </c>
      <c r="I12" s="4">
        <f>IFERROR(Historicals!I37/Historicals!H37-1,0)</f>
        <v>0.10780431728190054</v>
      </c>
      <c r="J12" s="4">
        <f>IFERROR(Historicals!J37/Historicals!I37-1,0)</f>
        <v>0.11783696529459231</v>
      </c>
      <c r="K12" s="4">
        <f>IFERROR(Historicals!K37/Historicals!J37-1,0)</f>
        <v>-2.372356884992266E-2</v>
      </c>
      <c r="L12" s="4">
        <f>IFERROR(Historicals!L37/Historicals!K37-1,0)</f>
        <v>-1.2255678816693094E-2</v>
      </c>
      <c r="N12" s="37">
        <f t="shared" si="0"/>
        <v>0.11350156091157936</v>
      </c>
      <c r="O12" s="4">
        <f t="shared" si="1"/>
        <v>0.10780431728190054</v>
      </c>
    </row>
    <row r="13" spans="2:15" x14ac:dyDescent="0.3">
      <c r="B13" t="s">
        <v>119</v>
      </c>
      <c r="D13" s="4">
        <f>IFERROR(Historicals!D45/Historicals!C45-1,0)</f>
        <v>6.2303631659196945E-2</v>
      </c>
      <c r="E13" s="4">
        <f>IFERROR(Historicals!E45/Historicals!D45-1,0)</f>
        <v>0.17636188224423521</v>
      </c>
      <c r="F13" s="4">
        <f>IFERROR(Historicals!F45/Historicals!E45-1,0)</f>
        <v>9.989836928904694E-2</v>
      </c>
      <c r="G13" s="4">
        <f>IFERROR(Historicals!G45/Historicals!F45-1,0)</f>
        <v>0.13631114358664265</v>
      </c>
      <c r="H13" s="4">
        <f>IFERROR(Historicals!H45/Historicals!G45-1,0)</f>
        <v>0.62387640449438186</v>
      </c>
      <c r="I13" s="4">
        <f>IFERROR(Historicals!I45/Historicals!H45-1,0)</f>
        <v>-0.16049382716049365</v>
      </c>
      <c r="J13" s="4">
        <f>IFERROR(Historicals!J45/Historicals!I45-1,0)</f>
        <v>0.14705882352941169</v>
      </c>
      <c r="K13" s="4">
        <f>IFERROR(Historicals!K45/Historicals!J45-1,0)</f>
        <v>7.6923076923076872E-2</v>
      </c>
      <c r="L13" s="38">
        <f>IFERROR(Historicals!L45/Historicals!K45-1,0)</f>
        <v>0.26190476190476186</v>
      </c>
      <c r="M13" s="34"/>
      <c r="N13" s="39">
        <f t="shared" si="0"/>
        <v>0.15823825183002893</v>
      </c>
      <c r="O13" s="38">
        <f t="shared" si="1"/>
        <v>0.13631114358664265</v>
      </c>
    </row>
    <row r="14" spans="2:15" x14ac:dyDescent="0.3"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2:15" x14ac:dyDescent="0.3">
      <c r="B15" t="s">
        <v>120</v>
      </c>
      <c r="C15" s="4">
        <f>IFERROR(Historicals!C17,0)</f>
        <v>0.43385322811160132</v>
      </c>
      <c r="D15" s="4">
        <f>IFERROR(Historicals!D17,0)</f>
        <v>0.43685543694590195</v>
      </c>
      <c r="E15" s="4">
        <f>IFERROR(Historicals!E17,0)</f>
        <v>0.45663243775495849</v>
      </c>
      <c r="F15" s="4">
        <f>IFERROR(Historicals!F17,0)</f>
        <v>0.46372424319511574</v>
      </c>
      <c r="G15" s="4">
        <f>IFERROR(Historicals!G17,0)</f>
        <v>0.48183897644722617</v>
      </c>
      <c r="H15" s="4">
        <f>IFERROR(Historicals!H17,0)</f>
        <v>0.46200136089138388</v>
      </c>
      <c r="I15" s="4">
        <f>IFERROR(Historicals!I17,0)</f>
        <v>0.44579186210578498</v>
      </c>
      <c r="J15" s="4">
        <f>IFERROR(Historicals!J17,0)</f>
        <v>0.41596236381644108</v>
      </c>
      <c r="K15" s="4">
        <f>IFERROR(Historicals!K17,0)</f>
        <v>0.45632997285769678</v>
      </c>
      <c r="L15" s="35">
        <f>IFERROR(Historicals!L17,0)</f>
        <v>0.45297127738787407</v>
      </c>
      <c r="M15" s="33"/>
      <c r="N15" s="36">
        <f>IFERROR(AVERAGE(C15:L15),0)</f>
        <v>0.45059611595139842</v>
      </c>
      <c r="O15" s="35">
        <f>IFERROR(MEDIAN(C15:L15),0)</f>
        <v>0.45465062512278542</v>
      </c>
    </row>
    <row r="16" spans="2:15" x14ac:dyDescent="0.3">
      <c r="B16" t="s">
        <v>121</v>
      </c>
      <c r="C16" s="4">
        <f>IFERROR(Historicals!C23,0)</f>
        <v>0.18362020754365252</v>
      </c>
      <c r="D16" s="4">
        <f>IFERROR(Historicals!D23,0)</f>
        <v>0.1908208190097099</v>
      </c>
      <c r="E16" s="4">
        <f>IFERROR(Historicals!E23,0)</f>
        <v>0.21097200731467156</v>
      </c>
      <c r="F16" s="4">
        <f>IFERROR(Historicals!F23,0)</f>
        <v>0.2258967183922666</v>
      </c>
      <c r="G16" s="4">
        <f>IFERROR(Historicals!G23,0)</f>
        <v>0.24786969308498605</v>
      </c>
      <c r="H16" s="4">
        <f>IFERROR(Historicals!H23,0)</f>
        <v>0.24721442544866887</v>
      </c>
      <c r="I16" s="4">
        <f>IFERROR(Historicals!I23,0)</f>
        <v>0.24514738969606834</v>
      </c>
      <c r="J16" s="4">
        <f>IFERROR(Historicals!J23,0)</f>
        <v>0.23352591614394189</v>
      </c>
      <c r="K16" s="4">
        <f>IFERROR(Historicals!K23,0)</f>
        <v>0.23683275171255008</v>
      </c>
      <c r="L16" s="4">
        <f>IFERROR(Historicals!L23,0)</f>
        <v>0.23515153435465216</v>
      </c>
      <c r="N16" s="37">
        <f t="shared" ref="N16:N44" si="2">IFERROR(AVERAGE(C16:L16),0)</f>
        <v>0.22570514627011679</v>
      </c>
      <c r="O16" s="4">
        <f t="shared" ref="O16:O44" si="3">IFERROR(MEDIAN(C16:L16),0)</f>
        <v>0.23433872524929703</v>
      </c>
    </row>
    <row r="17" spans="2:15" x14ac:dyDescent="0.3">
      <c r="B17" t="s">
        <v>122</v>
      </c>
      <c r="C17" s="4">
        <f>IFERROR((Historicals!C22-Historicals!C28)/Historicals!C10,0)</f>
        <v>0.17265270614552911</v>
      </c>
      <c r="D17" s="4">
        <f>IFERROR((Historicals!D22-Historicals!D28)/Historicals!D10,0)</f>
        <v>0.17779386044267534</v>
      </c>
      <c r="E17" s="4">
        <f>IFERROR((Historicals!E22-Historicals!E28)/Historicals!E10,0)</f>
        <v>0.19634266422844282</v>
      </c>
      <c r="F17" s="4">
        <f>IFERROR((Historicals!F22-Historicals!F28)/Historicals!F10,0)</f>
        <v>0.21152378529636226</v>
      </c>
      <c r="G17" s="4">
        <f>IFERROR((Historicals!G22-Historicals!G28)/Historicals!G10,0)</f>
        <v>0.22268305557650253</v>
      </c>
      <c r="H17" s="4">
        <f>IFERROR((Historicals!H22-Historicals!H28)/Historicals!H10,0)</f>
        <v>0.22437696691332823</v>
      </c>
      <c r="I17" s="4">
        <f>IFERROR((Historicals!I22-Historicals!I28)/Historicals!I10,0)</f>
        <v>0.22434504061320215</v>
      </c>
      <c r="J17" s="4">
        <f>IFERROR((Historicals!J22-Historicals!J28)/Historicals!J10,0)</f>
        <v>0.21475734565863322</v>
      </c>
      <c r="K17" s="4">
        <f>IFERROR((Historicals!K22-Historicals!K28)/Historicals!K10,0)</f>
        <v>0.21718689414501746</v>
      </c>
      <c r="L17" s="4">
        <f>IFERROR((Historicals!L22-Historicals!L28)/Historicals!L10,0)</f>
        <v>0.21368482755342913</v>
      </c>
      <c r="N17" s="37">
        <f t="shared" si="2"/>
        <v>0.20753471465731224</v>
      </c>
      <c r="O17" s="4">
        <f t="shared" si="3"/>
        <v>0.21422108660603117</v>
      </c>
    </row>
    <row r="18" spans="2:15" x14ac:dyDescent="0.3">
      <c r="B18" t="s">
        <v>123</v>
      </c>
      <c r="C18" s="4">
        <f>IFERROR(Historicals!C32,)</f>
        <v>0.17212452619151183</v>
      </c>
      <c r="D18" s="4">
        <f>IFERROR(Historicals!D32,)</f>
        <v>0.17673843555877208</v>
      </c>
      <c r="E18" s="4">
        <f>IFERROR(Historicals!E32,)</f>
        <v>0.19561119707413138</v>
      </c>
      <c r="F18" s="4">
        <f>IFERROR(Historicals!F32,)</f>
        <v>0.21068430424828288</v>
      </c>
      <c r="G18" s="4">
        <f>IFERROR(Historicals!G32,)</f>
        <v>0.21971696453258929</v>
      </c>
      <c r="H18" s="4">
        <f>IFERROR(Historicals!H32,)</f>
        <v>0.22188908735221571</v>
      </c>
      <c r="I18" s="4">
        <f>IFERROR(Historicals!I32,)</f>
        <v>0.22232391412119132</v>
      </c>
      <c r="J18" s="4">
        <f>IFERROR(Historicals!J32,)</f>
        <v>0.21287553648068669</v>
      </c>
      <c r="K18" s="4">
        <f>IFERROR(Historicals!K32,)</f>
        <v>0.2117907457670932</v>
      </c>
      <c r="L18" s="4">
        <f>IFERROR(Historicals!L32,)</f>
        <v>0.20742700527558183</v>
      </c>
      <c r="N18" s="37">
        <f t="shared" si="2"/>
        <v>0.2051181716602056</v>
      </c>
      <c r="O18" s="4">
        <f t="shared" si="3"/>
        <v>0.21123752500768805</v>
      </c>
    </row>
    <row r="19" spans="2:15" x14ac:dyDescent="0.3">
      <c r="B19" t="s">
        <v>124</v>
      </c>
      <c r="C19" s="4">
        <f>IFERROR(Historicals!C38,0)</f>
        <v>0.11386938420431243</v>
      </c>
      <c r="D19" s="4">
        <f>IFERROR(Historicals!D38,0)</f>
        <v>0.11712200711657922</v>
      </c>
      <c r="E19" s="4">
        <f>IFERROR(Historicals!E38,0)</f>
        <v>0.1371219580813054</v>
      </c>
      <c r="F19" s="4">
        <f>IFERROR(Historicals!F38,0)</f>
        <v>0.14596794708725516</v>
      </c>
      <c r="G19" s="4">
        <f>IFERROR(Historicals!G38,0)</f>
        <v>0.15916346178015736</v>
      </c>
      <c r="H19" s="4">
        <f>IFERROR(Historicals!H38,0)</f>
        <v>0.16647529131581185</v>
      </c>
      <c r="I19" s="4">
        <f>IFERROR(Historicals!I38,0)</f>
        <v>0.16537009495481067</v>
      </c>
      <c r="J19" s="4">
        <f>IFERROR(Historicals!J38,0)</f>
        <v>0.16003631561571477</v>
      </c>
      <c r="K19" s="4">
        <f>IFERROR(Historicals!K38,0)</f>
        <v>0.15291779759596744</v>
      </c>
      <c r="L19" s="38">
        <f>IFERROR(Historicals!L38,0)</f>
        <v>0.14811235563441644</v>
      </c>
      <c r="M19" s="34"/>
      <c r="N19" s="39">
        <f t="shared" si="2"/>
        <v>0.14661566133863307</v>
      </c>
      <c r="O19" s="38">
        <f t="shared" si="3"/>
        <v>0.15051507661519192</v>
      </c>
    </row>
    <row r="20" spans="2:15" x14ac:dyDescent="0.3"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2:15" x14ac:dyDescent="0.3">
      <c r="B21" t="s">
        <v>125</v>
      </c>
      <c r="C21" s="4">
        <f>IFERROR(Historicals!C20,0)</f>
        <v>0.25023302056794877</v>
      </c>
      <c r="D21" s="4">
        <f>IFERROR(Historicals!D20,0)</f>
        <v>0.24603461793619202</v>
      </c>
      <c r="E21" s="4">
        <f>IFERROR(Historicals!E20,0)</f>
        <v>0.24566043044028696</v>
      </c>
      <c r="F21" s="4">
        <f>IFERROR(Historicals!F20,0)</f>
        <v>0.23782752480284916</v>
      </c>
      <c r="G21" s="4">
        <f>IFERROR(Historicals!G20,0)</f>
        <v>0.23396928336224015</v>
      </c>
      <c r="H21" s="4">
        <f>IFERROR(Historicals!H20,0)</f>
        <v>0.21478693544271499</v>
      </c>
      <c r="I21" s="4">
        <f>IFERROR(Historicals!I20,0)</f>
        <v>0.20064447240971667</v>
      </c>
      <c r="J21" s="4">
        <f>IFERROR(Historicals!J20,0)</f>
        <v>0.18243644767249917</v>
      </c>
      <c r="K21" s="4">
        <f>IFERROR(Historicals!K20,0)</f>
        <v>0.21949722114514669</v>
      </c>
      <c r="L21" s="35">
        <f>IFERROR(Historicals!L20,0)</f>
        <v>0.21781974303322191</v>
      </c>
      <c r="M21" s="33"/>
      <c r="N21" s="36">
        <f t="shared" si="2"/>
        <v>0.22489096968128167</v>
      </c>
      <c r="O21" s="35">
        <f t="shared" si="3"/>
        <v>0.22673325225369342</v>
      </c>
    </row>
    <row r="22" spans="2:15" x14ac:dyDescent="0.3">
      <c r="B22" t="s">
        <v>126</v>
      </c>
      <c r="C22" s="4">
        <f>IFERROR(Historicals!C29,0)</f>
        <v>1.0967501398123409E-2</v>
      </c>
      <c r="D22" s="4">
        <f>IFERROR(Historicals!D29,0)</f>
        <v>1.3026958567034558E-2</v>
      </c>
      <c r="E22" s="4">
        <f>IFERROR(Historicals!E29,0)</f>
        <v>1.4629343086228723E-2</v>
      </c>
      <c r="F22" s="4">
        <f>IFERROR(Historicals!F29,0)</f>
        <v>1.437293309590435E-2</v>
      </c>
      <c r="G22" s="4">
        <f>IFERROR(Historicals!G29,0)</f>
        <v>2.5186637508483524E-2</v>
      </c>
      <c r="H22" s="4">
        <f>IFERROR(Historicals!H29,0)</f>
        <v>2.2837458535340648E-2</v>
      </c>
      <c r="I22" s="4">
        <f>IFERROR(Historicals!I29,0)</f>
        <v>2.0802349082866187E-2</v>
      </c>
      <c r="J22" s="4">
        <f>IFERROR(Historicals!J29,0)</f>
        <v>1.8768570485308684E-2</v>
      </c>
      <c r="K22" s="4">
        <f>IFERROR(Historicals!K29,0)</f>
        <v>1.9645857567532635E-2</v>
      </c>
      <c r="L22" s="4">
        <f>IFERROR(Historicals!L29,0)</f>
        <v>2.1466706801223048E-2</v>
      </c>
      <c r="N22" s="37">
        <f t="shared" si="2"/>
        <v>1.8170431612804579E-2</v>
      </c>
      <c r="O22" s="4">
        <f t="shared" si="3"/>
        <v>1.9207214026420658E-2</v>
      </c>
    </row>
    <row r="23" spans="2:15" x14ac:dyDescent="0.3">
      <c r="B23" t="s">
        <v>127</v>
      </c>
      <c r="C23" s="4">
        <f>C16</f>
        <v>0.18362020754365252</v>
      </c>
      <c r="D23" s="4">
        <f t="shared" ref="D23:L23" si="4">D16</f>
        <v>0.1908208190097099</v>
      </c>
      <c r="E23" s="4">
        <f t="shared" si="4"/>
        <v>0.21097200731467156</v>
      </c>
      <c r="F23" s="4">
        <f t="shared" si="4"/>
        <v>0.2258967183922666</v>
      </c>
      <c r="G23" s="4">
        <f t="shared" si="4"/>
        <v>0.24786969308498605</v>
      </c>
      <c r="H23" s="4">
        <f t="shared" si="4"/>
        <v>0.24721442544866887</v>
      </c>
      <c r="I23" s="4">
        <f t="shared" si="4"/>
        <v>0.24514738969606834</v>
      </c>
      <c r="J23" s="4">
        <f t="shared" si="4"/>
        <v>0.23352591614394189</v>
      </c>
      <c r="K23" s="4">
        <f t="shared" si="4"/>
        <v>0.23683275171255008</v>
      </c>
      <c r="L23" s="38">
        <f t="shared" si="4"/>
        <v>0.23515153435465216</v>
      </c>
      <c r="M23" s="34"/>
      <c r="N23" s="39">
        <f t="shared" si="2"/>
        <v>0.22570514627011679</v>
      </c>
      <c r="O23" s="38">
        <f t="shared" si="3"/>
        <v>0.23433872524929703</v>
      </c>
    </row>
    <row r="24" spans="2:15" x14ac:dyDescent="0.3"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2:15" x14ac:dyDescent="0.3">
      <c r="B25" t="s">
        <v>128</v>
      </c>
      <c r="C25" s="4">
        <f>IFERROR((Historicals!C22-Historicals!C28)/(SUM(Historicals!C53:C55)),0)</f>
        <v>0.82325925925925925</v>
      </c>
      <c r="D25" s="4">
        <f>IFERROR((Historicals!D22-Historicals!D28)/(SUM(Historicals!D53:D55)),0)</f>
        <v>0.83976641504059246</v>
      </c>
      <c r="E25" s="4">
        <f>IFERROR((Historicals!E22-Historicals!E28)/(SUM(Historicals!E53:E55)),0)</f>
        <v>0.95852218101909081</v>
      </c>
      <c r="F25" s="4">
        <f>IFERROR((Historicals!F22-Historicals!F28)/(SUM(Historicals!F53:F55)),0)</f>
        <v>1.0438111975897564</v>
      </c>
      <c r="G25" s="4">
        <f>IFERROR((Historicals!G22-Historicals!G28)/(SUM(Historicals!G53:G55)),0)</f>
        <v>1.0765585125774699</v>
      </c>
      <c r="H25" s="4">
        <f>IFERROR((Historicals!H22-Historicals!H28)/(SUM(Historicals!H53:H55)),0)</f>
        <v>0.22133657758946176</v>
      </c>
      <c r="I25" s="4">
        <f>IFERROR((Historicals!I22-Historicals!I28)/(SUM(Historicals!I53:I55)),0)</f>
        <v>0.23483155037521955</v>
      </c>
      <c r="J25" s="4">
        <f>IFERROR((Historicals!J22-Historicals!J28)/(SUM(Historicals!J53:J55)),0)</f>
        <v>0.25250858839741475</v>
      </c>
      <c r="K25" s="4">
        <f>IFERROR((Historicals!K22-Historicals!K28)/(SUM(Historicals!K53:K55)),0)</f>
        <v>0.25507570870175705</v>
      </c>
      <c r="L25" s="35">
        <f>IFERROR((Historicals!L22-Historicals!L28)/(SUM(Historicals!L53:L55)),0)</f>
        <v>0.26421155729676787</v>
      </c>
      <c r="M25" s="33"/>
      <c r="N25" s="36">
        <f t="shared" si="2"/>
        <v>0.59698815478467915</v>
      </c>
      <c r="O25" s="35">
        <f t="shared" si="3"/>
        <v>0.54373540827801348</v>
      </c>
    </row>
    <row r="26" spans="2:15" x14ac:dyDescent="0.3">
      <c r="B26" t="s">
        <v>129</v>
      </c>
      <c r="C26" s="4">
        <f>IFERROR(Historicals!C48,0)</f>
        <v>5.7025920873124192E-2</v>
      </c>
      <c r="D26" s="4">
        <f>IFERROR(Historicals!D48,0)</f>
        <v>5.4582904222451045E-2</v>
      </c>
      <c r="E26" s="4">
        <f>IFERROR(Historicals!E48,0)</f>
        <v>0.11366434140336479</v>
      </c>
      <c r="F26" s="4">
        <f>IFERROR(Historicals!F48,0)</f>
        <v>0.17183687696061345</v>
      </c>
      <c r="G26" s="4">
        <f>IFERROR(Historicals!G48,0)</f>
        <v>0.14718888186986734</v>
      </c>
      <c r="H26" s="4">
        <f>IFERROR(Historicals!H48,0)</f>
        <v>-0.21567249968067426</v>
      </c>
      <c r="I26" s="4">
        <f>IFERROR(Historicals!I48,0)</f>
        <v>7.8750144125446675E-2</v>
      </c>
      <c r="J26" s="4">
        <f>IFERROR(Historicals!J48,0)</f>
        <v>5.4667354306343507E-2</v>
      </c>
      <c r="K26" s="4">
        <f>IFERROR(Historicals!K48,0)</f>
        <v>-4.2789223454833714E-2</v>
      </c>
      <c r="L26" s="4">
        <f>IFERROR(Historicals!L48,0)</f>
        <v>-0.3322280457802973</v>
      </c>
      <c r="N26" s="37">
        <f t="shared" si="2"/>
        <v>8.7026654845405726E-3</v>
      </c>
      <c r="O26" s="4">
        <f t="shared" si="3"/>
        <v>5.584663758973385E-2</v>
      </c>
    </row>
    <row r="27" spans="2:15" x14ac:dyDescent="0.3">
      <c r="B27" t="s">
        <v>130</v>
      </c>
      <c r="C27" s="4">
        <f>IFERROR(Historicals!C37/(SUM(Historicals!C53:C54)),0)</f>
        <v>0.55758405598661187</v>
      </c>
      <c r="D27" s="4">
        <f>IFERROR(Historicals!D37/(SUM(Historicals!D53:D54)),0)</f>
        <v>0.57591933570581255</v>
      </c>
      <c r="E27" s="4">
        <f>IFERROR(Historicals!E37/(SUM(Historicals!E53:E54)),0)</f>
        <v>0.6694135420958659</v>
      </c>
      <c r="F27" s="4">
        <f>IFERROR(Historicals!F37/(SUM(Historicals!F53:F54)),0)</f>
        <v>0.72937587390364811</v>
      </c>
      <c r="G27" s="4">
        <f>IFERROR(Historicals!G37/(SUM(Historicals!G53:G54)),0)</f>
        <v>0.76947381212784061</v>
      </c>
      <c r="H27" s="4">
        <f>IFERROR(Historicals!H37/(SUM(Historicals!H53:H54)),0)</f>
        <v>0.16421949070772329</v>
      </c>
      <c r="I27" s="4">
        <f>IFERROR(Historicals!I37/(SUM(Historicals!I53:I54)),0)</f>
        <v>0.1767799270296162</v>
      </c>
      <c r="J27" s="4">
        <f>IFERROR(Historicals!J37/(SUM(Historicals!J53:J54)),0)</f>
        <v>0.19272821246819338</v>
      </c>
      <c r="K27" s="4">
        <f>IFERROR(Historicals!K37/(SUM(Historicals!K53:K54)),0)</f>
        <v>0.18479831309305322</v>
      </c>
      <c r="L27" s="4">
        <f>IFERROR(Historicals!L37/(SUM(Historicals!L53:L54)),0)</f>
        <v>0.18924335047164081</v>
      </c>
      <c r="N27" s="37">
        <f t="shared" si="2"/>
        <v>0.42095359135900062</v>
      </c>
      <c r="O27" s="4">
        <f t="shared" si="3"/>
        <v>0.37515613422740263</v>
      </c>
    </row>
    <row r="28" spans="2:15" x14ac:dyDescent="0.3">
      <c r="B28" t="s">
        <v>131</v>
      </c>
      <c r="C28" s="4">
        <f>IFERROR(C27*C26,0)</f>
        <v>3.1796744256808181E-2</v>
      </c>
      <c r="D28" s="4">
        <f t="shared" ref="D28:L28" si="5">IFERROR(D27*D26,0)</f>
        <v>3.1435349940687994E-2</v>
      </c>
      <c r="E28" s="4">
        <f t="shared" si="5"/>
        <v>7.6088449388820215E-2</v>
      </c>
      <c r="F28" s="4">
        <f t="shared" si="5"/>
        <v>0.12533367230202108</v>
      </c>
      <c r="G28" s="4">
        <f t="shared" si="5"/>
        <v>0.11325799003524123</v>
      </c>
      <c r="H28" s="4">
        <f t="shared" si="5"/>
        <v>-3.5417628057221942E-2</v>
      </c>
      <c r="I28" s="4">
        <f t="shared" si="5"/>
        <v>1.3921444732068222E-2</v>
      </c>
      <c r="J28" s="4">
        <f t="shared" si="5"/>
        <v>1.0535941475826979E-2</v>
      </c>
      <c r="K28" s="4">
        <f t="shared" si="5"/>
        <v>-7.9073763130149775E-3</v>
      </c>
      <c r="L28" s="4">
        <f t="shared" si="5"/>
        <v>-6.2871948504109126E-2</v>
      </c>
      <c r="N28" s="37">
        <f t="shared" si="2"/>
        <v>2.9617263925712789E-2</v>
      </c>
      <c r="O28" s="4">
        <f t="shared" si="3"/>
        <v>2.2678397336378109E-2</v>
      </c>
    </row>
    <row r="29" spans="2:15" x14ac:dyDescent="0.3">
      <c r="B29" t="s">
        <v>132</v>
      </c>
      <c r="C29" s="31">
        <f>IFERROR((Historicals!C22-Historicals!C28)/Historicals!C25,0)</f>
        <v>326.88235294117646</v>
      </c>
      <c r="D29" s="31">
        <f>IFERROR((Historicals!D22-Historicals!D28)/Historicals!D25,0)</f>
        <v>168.45714285714286</v>
      </c>
      <c r="E29" s="31">
        <f>IFERROR((Historicals!E22-Historicals!E28)/Historicals!E25,0)</f>
        <v>268.42307692307691</v>
      </c>
      <c r="F29" s="31">
        <f>IFERROR((Historicals!F22-Historicals!F28)/Historicals!F25,0)</f>
        <v>251.96969696969697</v>
      </c>
      <c r="G29" s="31">
        <f>IFERROR((Historicals!G22-Historicals!G28)/Historicals!G25,0)</f>
        <v>75.076271186440678</v>
      </c>
      <c r="H29" s="31">
        <f>IFERROR((Historicals!H22-Historicals!H28)/Historicals!H25,0)</f>
        <v>90.188034188034194</v>
      </c>
      <c r="I29" s="31">
        <f>IFERROR((Historicals!I22-Historicals!I28)/Historicals!I25,0)</f>
        <v>111</v>
      </c>
      <c r="J29" s="31">
        <f>IFERROR((Historicals!J22-Historicals!J28)/Historicals!J25,0)</f>
        <v>114.12280701754386</v>
      </c>
      <c r="K29" s="31">
        <f>IFERROR((Historicals!K22-Historicals!K28)/Historicals!K25,0)</f>
        <v>40.248502994011979</v>
      </c>
      <c r="L29" s="40">
        <f>IFERROR((Historicals!L22-Historicals!L28)/Historicals!L25,0)</f>
        <v>34.146835443037972</v>
      </c>
      <c r="M29" s="34"/>
      <c r="N29" s="40">
        <f t="shared" si="2"/>
        <v>148.05147205201621</v>
      </c>
      <c r="O29" s="40">
        <f t="shared" si="3"/>
        <v>112.56140350877193</v>
      </c>
    </row>
    <row r="30" spans="2:15" x14ac:dyDescent="0.3"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2:15" x14ac:dyDescent="0.3">
      <c r="B31" t="s">
        <v>133</v>
      </c>
      <c r="C31" s="31">
        <f>IFERROR(Historicals!C10/Historicals!C65,0)</f>
        <v>25.463607594936708</v>
      </c>
      <c r="D31" s="31">
        <f>IFERROR(Historicals!D10/Historicals!D65,0)</f>
        <v>30.56405529953917</v>
      </c>
      <c r="E31" s="31">
        <f>IFERROR(Historicals!E10/Historicals!E65,0)</f>
        <v>27.133587786259543</v>
      </c>
      <c r="F31" s="31">
        <f>IFERROR(Historicals!F10/Historicals!F65,0)</f>
        <v>21.646475770925111</v>
      </c>
      <c r="G31" s="31">
        <f>IFERROR(Historicals!G10/Historicals!G65,0)</f>
        <v>34.624020887728463</v>
      </c>
      <c r="H31" s="31">
        <f>IFERROR(Historicals!H10/Historicals!H65,0)</f>
        <v>26.750853242320819</v>
      </c>
      <c r="I31" s="31">
        <f>IFERROR(Historicals!I10/Historicals!I65,0)</f>
        <v>23.455277280858677</v>
      </c>
      <c r="J31" s="31">
        <f>IFERROR(Historicals!J10/Historicals!J65,0)</f>
        <v>19.67521922702176</v>
      </c>
      <c r="K31" s="31">
        <f>IFERROR(Historicals!K10/Historicals!K65,0)</f>
        <v>20.652652652652652</v>
      </c>
      <c r="L31" s="41">
        <f>IFERROR(Historicals!L10/Historicals!L65,0)</f>
        <v>16.52814873003404</v>
      </c>
      <c r="M31" s="33"/>
      <c r="N31" s="41">
        <f t="shared" si="2"/>
        <v>24.649389847227695</v>
      </c>
      <c r="O31" s="41">
        <f t="shared" si="3"/>
        <v>24.459442437897692</v>
      </c>
    </row>
    <row r="32" spans="2:15" x14ac:dyDescent="0.3">
      <c r="B32" t="s">
        <v>134</v>
      </c>
      <c r="C32" s="31">
        <f>IFERROR(Historicals!C13/Historicals!C56,0)</f>
        <v>2.2655725475568818</v>
      </c>
      <c r="D32" s="31">
        <f>IFERROR(Historicals!D13/Historicals!D56,0)</f>
        <v>2.150259067357513</v>
      </c>
      <c r="E32" s="31">
        <f>IFERROR(Historicals!E13/Historicals!E56,0)</f>
        <v>1.825347320669124</v>
      </c>
      <c r="F32" s="31">
        <f>IFERROR(Historicals!F13/Historicals!F56,0)</f>
        <v>1.9770233517771734</v>
      </c>
      <c r="G32" s="31">
        <f>IFERROR(Historicals!G13/Historicals!G56,0)</f>
        <v>1.7287822878228782</v>
      </c>
      <c r="H32" s="31">
        <f>IFERROR(Historicals!H13/Historicals!H56,0)</f>
        <v>1.2010348428747746</v>
      </c>
      <c r="I32" s="31">
        <f>IFERROR(Historicals!I13/Historicals!I56,0)</f>
        <v>1.4246642486030781</v>
      </c>
      <c r="J32" s="31">
        <f>IFERROR(Historicals!J13/Historicals!J56,0)</f>
        <v>1.6415050570659739</v>
      </c>
      <c r="K32" s="31">
        <f>IFERROR(Historicals!K13/Historicals!K56,0)</f>
        <v>1.3049598634971109</v>
      </c>
      <c r="L32" s="31">
        <f>IFERROR(Historicals!L13/Historicals!L56,0)</f>
        <v>1.1983826744872106</v>
      </c>
      <c r="N32" s="31">
        <f t="shared" si="2"/>
        <v>1.6717531261711716</v>
      </c>
      <c r="O32" s="31">
        <f t="shared" si="3"/>
        <v>1.685143672444426</v>
      </c>
    </row>
    <row r="33" spans="2:15" x14ac:dyDescent="0.3">
      <c r="B33" t="s">
        <v>135</v>
      </c>
      <c r="C33" s="31">
        <f>IFERROR(Historicals!C13/Historicals!C66,0)</f>
        <v>6.6845194424064562</v>
      </c>
      <c r="D33" s="31">
        <f>IFERROR(Historicals!D13/Historicals!D66,0)</f>
        <v>7.3494687131050771</v>
      </c>
      <c r="E33" s="31">
        <f>IFERROR(Historicals!E13/Historicals!E66,0)</f>
        <v>7.685634699562276</v>
      </c>
      <c r="F33" s="31">
        <f>IFERROR(Historicals!F13/Historicals!F66,0)</f>
        <v>8.1899766899766906</v>
      </c>
      <c r="G33" s="31">
        <f>IFERROR(Historicals!G13/Historicals!G66,0)</f>
        <v>7.4499457896638956</v>
      </c>
      <c r="H33" s="31">
        <f>IFERROR(Historicals!H13/Historicals!H66,0)</f>
        <v>7.0692930986309026</v>
      </c>
      <c r="I33" s="31">
        <f>IFERROR(Historicals!I13/Historicals!I66,0)</f>
        <v>7.09619140625</v>
      </c>
      <c r="J33" s="31">
        <f>IFERROR(Historicals!J13/Historicals!J66,0)</f>
        <v>8.3229828275699838</v>
      </c>
      <c r="K33" s="31">
        <f>IFERROR(Historicals!K13/Historicals!K66,0)</f>
        <v>8.3667329686723022</v>
      </c>
      <c r="L33" s="31">
        <f>IFERROR(Historicals!L13/Historicals!L66,0)</f>
        <v>7.8208380520951302</v>
      </c>
      <c r="N33" s="31">
        <f t="shared" si="2"/>
        <v>7.6035583687932702</v>
      </c>
      <c r="O33" s="31">
        <f t="shared" si="3"/>
        <v>7.5677902446130858</v>
      </c>
    </row>
    <row r="34" spans="2:15" x14ac:dyDescent="0.3">
      <c r="B34" t="s">
        <v>136</v>
      </c>
      <c r="C34" s="31">
        <f>IFERROR(Historicals!C10/Historicals!C59,0)</f>
        <v>9.8790669122160839</v>
      </c>
      <c r="D34" s="31">
        <f>IFERROR(Historicals!D10/Historicals!D59,0)</f>
        <v>7.5044127630685677</v>
      </c>
      <c r="E34" s="31">
        <f>IFERROR(Historicals!E10/Historicals!E59,0)</f>
        <v>7.8500441696113077</v>
      </c>
      <c r="F34" s="31">
        <f>IFERROR(Historicals!F10/Historicals!F59,0)</f>
        <v>8.3372216330858961</v>
      </c>
      <c r="G34" s="31">
        <f>IFERROR(Historicals!G10/Historicals!G59,0)</f>
        <v>7.2609965322139081</v>
      </c>
      <c r="H34" s="31">
        <f>IFERROR(Historicals!H10/Historicals!H59,0)</f>
        <v>0.91417685593763975</v>
      </c>
      <c r="I34" s="31">
        <f>IFERROR(Historicals!I10/Historicals!I59,0)</f>
        <v>1.018903114254075</v>
      </c>
      <c r="J34" s="31">
        <f>IFERROR(Historicals!J10/Historicals!J59,0)</f>
        <v>1.1500056949770303</v>
      </c>
      <c r="K34" s="31">
        <f>IFERROR(Historicals!K10/Historicals!K59,0)</f>
        <v>1.1516820482286394</v>
      </c>
      <c r="L34" s="31">
        <f>IFERROR(Historicals!L10/Historicals!L59,0)</f>
        <v>1.1617005613324745</v>
      </c>
      <c r="N34" s="31">
        <f t="shared" si="2"/>
        <v>4.6228210284925622</v>
      </c>
      <c r="O34" s="31">
        <f t="shared" si="3"/>
        <v>4.2113485467731913</v>
      </c>
    </row>
    <row r="35" spans="2:15" x14ac:dyDescent="0.3">
      <c r="B35" t="s">
        <v>137</v>
      </c>
      <c r="C35" s="31">
        <f>IFERROR(Historicals!C10/SUM(Historicals!C53:C54),0)</f>
        <v>4.8966986155484555</v>
      </c>
      <c r="D35" s="31">
        <f>IFERROR(Historicals!D10/SUM(Historicals!D53:D54),0)</f>
        <v>4.9172597864768681</v>
      </c>
      <c r="E35" s="31">
        <f>IFERROR(Historicals!E10/SUM(Historicals!E53:E54),0)</f>
        <v>4.8818843565444308</v>
      </c>
      <c r="F35" s="31">
        <f>IFERROR(Historicals!F10/SUM(Historicals!F53:F54),0)</f>
        <v>4.9968221685521801</v>
      </c>
      <c r="G35" s="31">
        <f>IFERROR(Historicals!G10/SUM(Historicals!G53:G54),0)</f>
        <v>4.8344877870944218</v>
      </c>
      <c r="H35" s="31">
        <f>IFERROR(Historicals!H10/SUM(Historicals!H53:H54),0)</f>
        <v>0.98644963711876499</v>
      </c>
      <c r="I35" s="31">
        <f>IFERROR(Historicals!I10/SUM(Historicals!I53:I54),0)</f>
        <v>1.0689957399971464</v>
      </c>
      <c r="J35" s="31">
        <f>IFERROR(Historicals!J10/SUM(Historicals!J53:J54),0)</f>
        <v>1.2042779898218829</v>
      </c>
      <c r="K35" s="31">
        <f>IFERROR(Historicals!K10/SUM(Historicals!K53:K54),0)</f>
        <v>1.2084813932601819</v>
      </c>
      <c r="L35" s="40">
        <f>IFERROR(Historicals!L10/SUM(Historicals!L53:L54),0)</f>
        <v>1.2777013076393668</v>
      </c>
      <c r="M35" s="34"/>
      <c r="N35" s="40">
        <f t="shared" si="2"/>
        <v>3.0273058782053694</v>
      </c>
      <c r="O35" s="40">
        <f t="shared" si="3"/>
        <v>3.0560945473668943</v>
      </c>
    </row>
    <row r="36" spans="2:15" x14ac:dyDescent="0.3"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2:15" x14ac:dyDescent="0.3">
      <c r="B37" t="s">
        <v>138</v>
      </c>
      <c r="C37" s="32">
        <f>IFERROR(365/C31,0)</f>
        <v>14.334182563847637</v>
      </c>
      <c r="D37" s="32">
        <f t="shared" ref="D37:L37" si="6">IFERROR(365/D31,0)</f>
        <v>11.942132561365419</v>
      </c>
      <c r="E37" s="32">
        <f t="shared" si="6"/>
        <v>13.4519623013082</v>
      </c>
      <c r="F37" s="32">
        <f t="shared" si="6"/>
        <v>16.861867209361485</v>
      </c>
      <c r="G37" s="32">
        <f t="shared" si="6"/>
        <v>10.541814342809742</v>
      </c>
      <c r="H37" s="32">
        <f t="shared" si="6"/>
        <v>13.644424598111764</v>
      </c>
      <c r="I37" s="32">
        <f t="shared" si="6"/>
        <v>15.561529954619989</v>
      </c>
      <c r="J37" s="32">
        <f t="shared" si="6"/>
        <v>18.551254539451964</v>
      </c>
      <c r="K37" s="32">
        <f t="shared" si="6"/>
        <v>17.673274525009695</v>
      </c>
      <c r="L37" s="42">
        <f t="shared" si="6"/>
        <v>22.08353796676225</v>
      </c>
      <c r="M37" s="33"/>
      <c r="N37" s="42">
        <f t="shared" si="2"/>
        <v>15.464598056264816</v>
      </c>
      <c r="O37" s="42">
        <f t="shared" si="3"/>
        <v>14.947856259233813</v>
      </c>
    </row>
    <row r="38" spans="2:15" x14ac:dyDescent="0.3">
      <c r="B38" t="s">
        <v>139</v>
      </c>
      <c r="C38" s="32">
        <f>IFERROR(365/C32,0)</f>
        <v>161.10717813631874</v>
      </c>
      <c r="D38" s="32">
        <f t="shared" ref="D38:L38" si="7">IFERROR(365/D32,0)</f>
        <v>169.74698795180723</v>
      </c>
      <c r="E38" s="32">
        <f t="shared" si="7"/>
        <v>199.96194470332401</v>
      </c>
      <c r="F38" s="32">
        <f t="shared" si="7"/>
        <v>184.62098572173997</v>
      </c>
      <c r="G38" s="32">
        <f t="shared" si="7"/>
        <v>211.13127001067235</v>
      </c>
      <c r="H38" s="32">
        <f t="shared" si="7"/>
        <v>303.90458875143275</v>
      </c>
      <c r="I38" s="32">
        <f t="shared" si="7"/>
        <v>256.20071561274341</v>
      </c>
      <c r="J38" s="32">
        <f t="shared" si="7"/>
        <v>222.35691472824396</v>
      </c>
      <c r="K38" s="32">
        <f t="shared" si="7"/>
        <v>279.70208909096311</v>
      </c>
      <c r="L38" s="32">
        <f t="shared" si="7"/>
        <v>304.57716701902751</v>
      </c>
      <c r="N38" s="32">
        <f t="shared" si="2"/>
        <v>229.33098417262732</v>
      </c>
      <c r="O38" s="32">
        <f t="shared" si="3"/>
        <v>216.74409236945814</v>
      </c>
    </row>
    <row r="39" spans="2:15" x14ac:dyDescent="0.3">
      <c r="B39" t="s">
        <v>140</v>
      </c>
      <c r="C39" s="32">
        <f>IFERROR(365/C33,0)</f>
        <v>54.603775655800682</v>
      </c>
      <c r="D39" s="32">
        <f t="shared" ref="D39:L39" si="8">IFERROR(365/D33,0)</f>
        <v>49.663453815261043</v>
      </c>
      <c r="E39" s="32">
        <f t="shared" si="8"/>
        <v>47.491198094646371</v>
      </c>
      <c r="F39" s="32">
        <f t="shared" si="8"/>
        <v>44.566671410274651</v>
      </c>
      <c r="G39" s="32">
        <f t="shared" si="8"/>
        <v>48.993645095566123</v>
      </c>
      <c r="H39" s="32">
        <f t="shared" si="8"/>
        <v>51.631753685625071</v>
      </c>
      <c r="I39" s="32">
        <f t="shared" si="8"/>
        <v>51.436042111057596</v>
      </c>
      <c r="J39" s="32">
        <f t="shared" si="8"/>
        <v>43.854469913230261</v>
      </c>
      <c r="K39" s="32">
        <f t="shared" si="8"/>
        <v>43.625152298594394</v>
      </c>
      <c r="L39" s="32">
        <f t="shared" si="8"/>
        <v>46.670190274841438</v>
      </c>
      <c r="N39" s="32">
        <f t="shared" si="2"/>
        <v>48.253635235489767</v>
      </c>
      <c r="O39" s="32">
        <f t="shared" si="3"/>
        <v>48.242421595106251</v>
      </c>
    </row>
    <row r="40" spans="2:15" x14ac:dyDescent="0.3">
      <c r="B40" t="s">
        <v>141</v>
      </c>
      <c r="C40" s="32">
        <f>IFERROR(C37+C39-C38,0)</f>
        <v>-92.169219916670414</v>
      </c>
      <c r="D40" s="32">
        <f t="shared" ref="D40:L40" si="9">IFERROR(D37+D39-D38,0)</f>
        <v>-108.14140157518077</v>
      </c>
      <c r="E40" s="32">
        <f t="shared" si="9"/>
        <v>-139.01878430736943</v>
      </c>
      <c r="F40" s="32">
        <f t="shared" si="9"/>
        <v>-123.19244710210384</v>
      </c>
      <c r="G40" s="32">
        <f t="shared" si="9"/>
        <v>-151.5958105722965</v>
      </c>
      <c r="H40" s="32">
        <f t="shared" si="9"/>
        <v>-238.62841046769591</v>
      </c>
      <c r="I40" s="32">
        <f t="shared" si="9"/>
        <v>-189.20314354706582</v>
      </c>
      <c r="J40" s="32">
        <f t="shared" si="9"/>
        <v>-159.95119027556174</v>
      </c>
      <c r="K40" s="32">
        <f t="shared" si="9"/>
        <v>-218.40366226735904</v>
      </c>
      <c r="L40" s="43">
        <f t="shared" si="9"/>
        <v>-235.82343877742383</v>
      </c>
      <c r="M40" s="34"/>
      <c r="N40" s="43">
        <f t="shared" si="2"/>
        <v>-165.61275088087274</v>
      </c>
      <c r="O40" s="43">
        <f t="shared" si="3"/>
        <v>-155.77350042392914</v>
      </c>
    </row>
    <row r="41" spans="2:15" x14ac:dyDescent="0.3"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2:15" x14ac:dyDescent="0.3">
      <c r="B42" t="s">
        <v>142</v>
      </c>
      <c r="C42" s="4">
        <f>IFERROR(Historicals!C89/Historicals!C10,0)</f>
        <v>0.1295905051885913</v>
      </c>
      <c r="D42" s="4">
        <f>IFERROR(Historicals!D89/Historicals!D10,0)</f>
        <v>0.15635365780109764</v>
      </c>
      <c r="E42" s="4">
        <f>IFERROR(Historicals!E89/Historicals!E10,0)</f>
        <v>0.17045998030665355</v>
      </c>
      <c r="F42" s="4">
        <f>IFERROR(Historicals!F89/Historicals!F10,0)</f>
        <v>0.14754515390485881</v>
      </c>
      <c r="G42" s="4">
        <f>IFERROR(Historicals!G89/Historicals!G10,0)</f>
        <v>0.19161450870975039</v>
      </c>
      <c r="H42" s="4">
        <f>IFERROR(Historicals!H89/Historicals!H10,0)</f>
        <v>0.19484137109806923</v>
      </c>
      <c r="I42" s="4">
        <f>IFERROR(Historicals!I89/Historicals!I10,0)</f>
        <v>0.1725203066010754</v>
      </c>
      <c r="J42" s="4">
        <f>IFERROR(Historicals!J89/Historicals!J10,0)</f>
        <v>0.16492241663915483</v>
      </c>
      <c r="K42" s="4">
        <f>IFERROR(Historicals!K89/Historicals!K10,0)</f>
        <v>0.2499192193356598</v>
      </c>
      <c r="L42" s="35">
        <f>IFERROR(Historicals!L89/Historicals!L10,0)</f>
        <v>0.18830500150504587</v>
      </c>
      <c r="M42" s="33"/>
      <c r="N42" s="36">
        <f t="shared" si="2"/>
        <v>0.17660721210899566</v>
      </c>
      <c r="O42" s="35">
        <f t="shared" si="3"/>
        <v>0.17149014345386449</v>
      </c>
    </row>
    <row r="43" spans="2:15" x14ac:dyDescent="0.3">
      <c r="B43" t="s">
        <v>143</v>
      </c>
      <c r="C43" s="4">
        <f>IFERROR(Historicals!C89/Historicals!C70,0)</f>
        <v>0.28195768268775773</v>
      </c>
      <c r="D43" s="4">
        <f>IFERROR(Historicals!D89/Historicals!D70,0)</f>
        <v>0.33012861326881449</v>
      </c>
      <c r="E43" s="4">
        <f>IFERROR(Historicals!E89/Historicals!E70,0)</f>
        <v>0.33921173440824098</v>
      </c>
      <c r="F43" s="4">
        <f>IFERROR(Historicals!F89/Historicals!F70,0)</f>
        <v>0.31134253046325622</v>
      </c>
      <c r="G43" s="4">
        <f>IFERROR(Historicals!G89/Historicals!G70,0)</f>
        <v>0.3782563390065995</v>
      </c>
      <c r="H43" s="4">
        <f>IFERROR(Historicals!H89/Historicals!H70,0)</f>
        <v>0.13329938900203667</v>
      </c>
      <c r="I43" s="4">
        <f>IFERROR(Historicals!I89/Historicals!I70,0)</f>
        <v>0.12832950387201089</v>
      </c>
      <c r="J43" s="4">
        <f>IFERROR(Historicals!J89/Historicals!J70,0)</f>
        <v>0.13671880345389109</v>
      </c>
      <c r="K43" s="4">
        <f>IFERROR(Historicals!K89/Historicals!K70,0)</f>
        <v>0.19708494183898381</v>
      </c>
      <c r="L43" s="4">
        <f>IFERROR(Historicals!L89/Historicals!L70,0)</f>
        <v>0.14882987115435184</v>
      </c>
      <c r="N43" s="37">
        <f t="shared" si="2"/>
        <v>0.23851594091559436</v>
      </c>
      <c r="O43" s="4">
        <f t="shared" si="3"/>
        <v>0.23952131226337076</v>
      </c>
    </row>
    <row r="44" spans="2:15" x14ac:dyDescent="0.3">
      <c r="B44" t="s">
        <v>144</v>
      </c>
      <c r="C44" s="4">
        <f>IFERROR(Historicals!C89/Historicals!C55,0)</f>
        <v>23.564971751412429</v>
      </c>
      <c r="D44" s="4">
        <f>IFERROR(Historicals!D89/Historicals!D55,0)</f>
        <v>18.71841155234657</v>
      </c>
      <c r="E44" s="4">
        <f>IFERROR(Historicals!E89/Historicals!E55,0)</f>
        <v>0</v>
      </c>
      <c r="F44" s="4">
        <f>IFERROR(Historicals!F89/Historicals!F55,0)</f>
        <v>58.585858585858588</v>
      </c>
      <c r="G44" s="4">
        <f>IFERROR(Historicals!G89/Historicals!G55,0)</f>
        <v>0</v>
      </c>
      <c r="H44" s="4">
        <f>IFERROR(Historicals!H89/Historicals!H55,0)</f>
        <v>0</v>
      </c>
      <c r="I44" s="4">
        <f>IFERROR(Historicals!I89/Historicals!I55,0)</f>
        <v>8.6749760306807282</v>
      </c>
      <c r="J44" s="4">
        <f>IFERROR(Historicals!J89/Historicals!J55,0)</f>
        <v>8.1960623461853981</v>
      </c>
      <c r="K44" s="4">
        <f>IFERROR(Historicals!K89/Historicals!K55,0)</f>
        <v>10.423854447439354</v>
      </c>
      <c r="L44" s="38">
        <f>IFERROR(Historicals!L89/Historicals!L55,0)</f>
        <v>7.2123786407766994</v>
      </c>
      <c r="M44" s="34"/>
      <c r="N44" s="39">
        <f t="shared" si="2"/>
        <v>13.537651335469977</v>
      </c>
      <c r="O44" s="38">
        <f t="shared" si="3"/>
        <v>8.4355191884330623</v>
      </c>
    </row>
    <row r="45" spans="2:15" x14ac:dyDescent="0.3">
      <c r="B45" s="33"/>
      <c r="C45" s="33"/>
      <c r="D45" s="33"/>
      <c r="E45" s="33"/>
      <c r="F45" s="33"/>
      <c r="G45" s="33"/>
      <c r="H45" s="33"/>
      <c r="I45" s="33"/>
      <c r="J45" s="33"/>
      <c r="K45" s="33"/>
    </row>
  </sheetData>
  <mergeCells count="2">
    <mergeCell ref="B5:O5"/>
    <mergeCell ref="B1:G3"/>
  </mergeCells>
  <pageMargins left="0.25" right="0.25" top="0.75" bottom="0.75" header="0.3" footer="0.3"/>
  <pageSetup scale="72" fitToHeight="0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low="1" xr2:uid="{FA2AB971-F382-432E-9062-99AC277C9C73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theme="2" tint="-0.499984740745262"/>
          <x14:sparklines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</x14:sparklines>
        </x14:sparklineGroup>
        <x14:sparklineGroup displayEmptyCellsAs="gap" markers="1" low="1" xr2:uid="{5979CC1E-FA87-4C24-80F6-2201A1D8ECE2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theme="2" tint="-0.499984740745262"/>
          <x14:sparklines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  <x14:sparkline>
              <xm:f>'Ratio Analysis'!C42:L42</xm:f>
              <xm:sqref>M42</xm:sqref>
            </x14:sparkline>
            <x14:sparkline>
              <xm:f>'Ratio Analysis'!C43:L43</xm:f>
              <xm:sqref>M43</xm:sqref>
            </x14:sparkline>
            <x14:sparkline>
              <xm:f>'Ratio Analysis'!C44:L44</xm:f>
              <xm:sqref>M44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6FC6-8A85-49F9-9DF7-E12C22CCB4B3}">
  <sheetPr>
    <pageSetUpPr fitToPage="1"/>
  </sheetPr>
  <dimension ref="B1:R114"/>
  <sheetViews>
    <sheetView showGridLines="0" topLeftCell="A7" zoomScale="89" workbookViewId="0">
      <selection activeCell="J23" sqref="J23"/>
    </sheetView>
  </sheetViews>
  <sheetFormatPr defaultRowHeight="14.4" x14ac:dyDescent="0.3"/>
  <cols>
    <col min="1" max="1" width="1.88671875" customWidth="1"/>
    <col min="2" max="2" width="10.6640625" bestFit="1" customWidth="1"/>
    <col min="3" max="3" width="8" bestFit="1" customWidth="1"/>
    <col min="4" max="4" width="13.77734375" bestFit="1" customWidth="1"/>
    <col min="7" max="7" width="9.109375" bestFit="1" customWidth="1"/>
    <col min="8" max="8" width="13.77734375" bestFit="1" customWidth="1"/>
    <col min="10" max="10" width="17.77734375" bestFit="1" customWidth="1"/>
    <col min="12" max="12" width="18.33203125" bestFit="1" customWidth="1"/>
    <col min="15" max="15" width="17.88671875" bestFit="1" customWidth="1"/>
    <col min="16" max="16" width="12.88671875" bestFit="1" customWidth="1"/>
    <col min="17" max="17" width="14" bestFit="1" customWidth="1"/>
    <col min="18" max="18" width="12.88671875" bestFit="1" customWidth="1"/>
    <col min="19" max="19" width="12.21875" bestFit="1" customWidth="1"/>
    <col min="20" max="20" width="12.88671875" bestFit="1" customWidth="1"/>
    <col min="21" max="21" width="12.21875" bestFit="1" customWidth="1"/>
    <col min="22" max="22" width="12.88671875" bestFit="1" customWidth="1"/>
    <col min="23" max="23" width="12.44140625" bestFit="1" customWidth="1"/>
  </cols>
  <sheetData>
    <row r="1" spans="2:15" ht="14.4" customHeight="1" x14ac:dyDescent="0.3">
      <c r="B1" s="180" t="s">
        <v>399</v>
      </c>
      <c r="C1" s="180"/>
      <c r="D1" s="180"/>
      <c r="E1" s="180"/>
      <c r="F1" s="180"/>
      <c r="G1" s="180"/>
      <c r="H1" s="175"/>
      <c r="I1" s="175"/>
      <c r="J1" s="175"/>
      <c r="K1" s="176"/>
      <c r="L1" s="175"/>
      <c r="M1" s="175"/>
      <c r="N1" s="176"/>
      <c r="O1" s="176"/>
    </row>
    <row r="2" spans="2:15" ht="14.4" customHeight="1" x14ac:dyDescent="0.3">
      <c r="B2" s="180"/>
      <c r="C2" s="180"/>
      <c r="D2" s="180"/>
      <c r="E2" s="180"/>
      <c r="F2" s="180"/>
      <c r="G2" s="180"/>
      <c r="H2" s="175"/>
      <c r="I2" s="175"/>
      <c r="J2" s="175"/>
      <c r="K2" s="176"/>
      <c r="L2" s="175"/>
      <c r="M2" s="175"/>
      <c r="N2" s="176"/>
      <c r="O2" s="176"/>
    </row>
    <row r="3" spans="2:15" ht="14.4" customHeight="1" x14ac:dyDescent="0.3">
      <c r="B3" s="180"/>
      <c r="C3" s="180"/>
      <c r="D3" s="180"/>
      <c r="E3" s="180"/>
      <c r="F3" s="180"/>
      <c r="G3" s="180"/>
      <c r="H3" s="175"/>
      <c r="I3" s="175"/>
      <c r="J3" s="175"/>
      <c r="K3" s="176"/>
      <c r="L3" s="175"/>
      <c r="M3" s="175"/>
      <c r="N3" s="176"/>
      <c r="O3" s="176"/>
    </row>
    <row r="5" spans="2:15" x14ac:dyDescent="0.3">
      <c r="B5" s="72" t="s">
        <v>187</v>
      </c>
      <c r="C5" s="73"/>
      <c r="D5" s="73"/>
      <c r="E5" s="73"/>
    </row>
    <row r="8" spans="2:15" x14ac:dyDescent="0.3">
      <c r="B8" s="186" t="str">
        <f>'Data Sheet'!B1</f>
        <v>HINDUSTAN UNILEVER LTD</v>
      </c>
      <c r="C8" s="186"/>
      <c r="D8" s="186"/>
      <c r="F8" s="186" t="s">
        <v>191</v>
      </c>
      <c r="G8" s="186"/>
      <c r="H8" s="186"/>
    </row>
    <row r="9" spans="2:15" x14ac:dyDescent="0.3">
      <c r="B9" s="76" t="s">
        <v>189</v>
      </c>
      <c r="C9" s="78" t="s">
        <v>188</v>
      </c>
      <c r="D9" s="78" t="s">
        <v>190</v>
      </c>
      <c r="G9" s="78" t="s">
        <v>188</v>
      </c>
      <c r="H9" s="78" t="s">
        <v>190</v>
      </c>
    </row>
    <row r="10" spans="2:15" x14ac:dyDescent="0.3">
      <c r="B10" s="77">
        <v>45387</v>
      </c>
      <c r="C10" s="17">
        <v>2232.56</v>
      </c>
      <c r="D10" s="69"/>
      <c r="G10" s="17">
        <v>22513.7</v>
      </c>
      <c r="H10" s="45"/>
      <c r="J10" s="79" t="s">
        <v>218</v>
      </c>
    </row>
    <row r="11" spans="2:15" x14ac:dyDescent="0.3">
      <c r="B11" s="77">
        <v>45394</v>
      </c>
      <c r="C11" s="17">
        <v>2198.4</v>
      </c>
      <c r="D11" s="69">
        <f>C11/C10-1</f>
        <v>-1.5300820582649477E-2</v>
      </c>
      <c r="G11" s="17">
        <v>22519.4</v>
      </c>
      <c r="H11" s="69">
        <f>G11/G10-1</f>
        <v>2.5317917534661838E-4</v>
      </c>
      <c r="J11" t="s">
        <v>216</v>
      </c>
      <c r="K11" s="64">
        <f>K36</f>
        <v>0.56387808841387876</v>
      </c>
    </row>
    <row r="12" spans="2:15" x14ac:dyDescent="0.3">
      <c r="B12" s="77">
        <v>45401</v>
      </c>
      <c r="C12" s="17">
        <v>2197.66</v>
      </c>
      <c r="D12" s="69">
        <f t="shared" ref="D12:D75" si="0">C12/C11-1</f>
        <v>-3.3660844250371635E-4</v>
      </c>
      <c r="G12" s="17">
        <v>22147</v>
      </c>
      <c r="H12" s="69">
        <f t="shared" ref="H12:H75" si="1">G12/G11-1</f>
        <v>-1.6536852669254087E-2</v>
      </c>
      <c r="J12" t="s">
        <v>217</v>
      </c>
      <c r="K12">
        <v>0.75</v>
      </c>
    </row>
    <row r="13" spans="2:15" x14ac:dyDescent="0.3">
      <c r="B13" s="77">
        <v>45408</v>
      </c>
      <c r="C13" s="17">
        <v>2187.08</v>
      </c>
      <c r="D13" s="69">
        <f t="shared" si="0"/>
        <v>-4.8142114794826885E-3</v>
      </c>
      <c r="G13" s="17">
        <v>22419.95</v>
      </c>
      <c r="H13" s="69">
        <f t="shared" si="1"/>
        <v>1.2324468325281002E-2</v>
      </c>
    </row>
    <row r="14" spans="2:15" x14ac:dyDescent="0.3">
      <c r="B14" s="77">
        <v>45415</v>
      </c>
      <c r="C14" s="17">
        <v>2181.17</v>
      </c>
      <c r="D14" s="69">
        <f t="shared" si="0"/>
        <v>-2.7022331144721523E-3</v>
      </c>
      <c r="G14" s="17">
        <v>22475.85</v>
      </c>
      <c r="H14" s="69">
        <f t="shared" si="1"/>
        <v>2.4933151055197555E-3</v>
      </c>
      <c r="J14" t="s">
        <v>219</v>
      </c>
      <c r="K14">
        <v>1</v>
      </c>
    </row>
    <row r="15" spans="2:15" x14ac:dyDescent="0.3">
      <c r="B15" s="77">
        <v>45422</v>
      </c>
      <c r="C15" s="17">
        <v>2320.58</v>
      </c>
      <c r="D15" s="69">
        <f t="shared" si="0"/>
        <v>6.3915238152000953E-2</v>
      </c>
      <c r="G15" s="17">
        <v>22055.200000000001</v>
      </c>
      <c r="H15" s="69">
        <f t="shared" si="1"/>
        <v>-1.8715643679771743E-2</v>
      </c>
      <c r="J15" t="s">
        <v>220</v>
      </c>
      <c r="K15">
        <v>0.25</v>
      </c>
    </row>
    <row r="16" spans="2:15" x14ac:dyDescent="0.3">
      <c r="B16" s="77">
        <v>45429</v>
      </c>
      <c r="C16" s="17">
        <v>2283.5100000000002</v>
      </c>
      <c r="D16" s="69">
        <f t="shared" si="0"/>
        <v>-1.597445466219638E-2</v>
      </c>
      <c r="G16" s="17">
        <v>22466.1</v>
      </c>
      <c r="H16" s="69">
        <f t="shared" si="1"/>
        <v>1.8630527041241907E-2</v>
      </c>
    </row>
    <row r="17" spans="2:15" x14ac:dyDescent="0.3">
      <c r="B17" s="77">
        <v>45436</v>
      </c>
      <c r="C17" s="17">
        <v>2333.1799999999998</v>
      </c>
      <c r="D17" s="69">
        <f t="shared" si="0"/>
        <v>2.1751601700890077E-2</v>
      </c>
      <c r="G17" s="17">
        <v>22957.1</v>
      </c>
      <c r="H17" s="69">
        <f t="shared" si="1"/>
        <v>2.1855150649200406E-2</v>
      </c>
      <c r="J17" s="84" t="s">
        <v>221</v>
      </c>
      <c r="K17" s="89">
        <f>K11*K12+K14*K15</f>
        <v>0.67290856631040907</v>
      </c>
    </row>
    <row r="18" spans="2:15" x14ac:dyDescent="0.3">
      <c r="B18" s="77">
        <v>45443</v>
      </c>
      <c r="C18" s="17">
        <v>2292.62</v>
      </c>
      <c r="D18" s="69">
        <f t="shared" si="0"/>
        <v>-1.7383999519968385E-2</v>
      </c>
      <c r="G18" s="17">
        <v>22530.7</v>
      </c>
      <c r="H18" s="69">
        <f t="shared" si="1"/>
        <v>-1.8573774562117951E-2</v>
      </c>
    </row>
    <row r="19" spans="2:15" x14ac:dyDescent="0.3">
      <c r="B19" s="77">
        <v>45450</v>
      </c>
      <c r="C19" s="17">
        <v>2536.73</v>
      </c>
      <c r="D19" s="69">
        <f t="shared" si="0"/>
        <v>0.10647643307656751</v>
      </c>
      <c r="G19" s="17">
        <v>23290.15</v>
      </c>
      <c r="H19" s="69">
        <f t="shared" si="1"/>
        <v>3.3707341538434354E-2</v>
      </c>
      <c r="J19" t="s">
        <v>192</v>
      </c>
    </row>
    <row r="20" spans="2:15" ht="15" thickBot="1" x14ac:dyDescent="0.35">
      <c r="B20" s="77">
        <v>45457</v>
      </c>
      <c r="C20" s="17">
        <v>2440.84</v>
      </c>
      <c r="D20" s="69">
        <f t="shared" si="0"/>
        <v>-3.7800633098516556E-2</v>
      </c>
      <c r="G20" s="17">
        <v>23465.599999999999</v>
      </c>
      <c r="H20" s="69">
        <f t="shared" si="1"/>
        <v>7.5332275661599279E-3</v>
      </c>
    </row>
    <row r="21" spans="2:15" x14ac:dyDescent="0.3">
      <c r="B21" s="77">
        <v>45464</v>
      </c>
      <c r="C21" s="17">
        <v>2403.52</v>
      </c>
      <c r="D21" s="69">
        <f t="shared" si="0"/>
        <v>-1.528981825928788E-2</v>
      </c>
      <c r="G21" s="17">
        <v>23501.1</v>
      </c>
      <c r="H21" s="69">
        <f t="shared" si="1"/>
        <v>1.5128528569481325E-3</v>
      </c>
      <c r="J21" s="141" t="s">
        <v>193</v>
      </c>
      <c r="K21" s="141"/>
    </row>
    <row r="22" spans="2:15" x14ac:dyDescent="0.3">
      <c r="B22" s="77">
        <v>45471</v>
      </c>
      <c r="C22" s="17">
        <v>2436.85</v>
      </c>
      <c r="D22" s="69">
        <f t="shared" si="0"/>
        <v>1.3867161496471825E-2</v>
      </c>
      <c r="G22" s="17">
        <v>24010.6</v>
      </c>
      <c r="H22" s="69">
        <f t="shared" si="1"/>
        <v>2.1679836262983532E-2</v>
      </c>
      <c r="J22" t="s">
        <v>194</v>
      </c>
      <c r="K22">
        <v>0.35624839911113715</v>
      </c>
    </row>
    <row r="23" spans="2:15" x14ac:dyDescent="0.3">
      <c r="B23" s="77">
        <v>45478</v>
      </c>
      <c r="C23" s="17">
        <v>2507.73</v>
      </c>
      <c r="D23" s="69">
        <f t="shared" si="0"/>
        <v>2.9086730820526485E-2</v>
      </c>
      <c r="G23" s="17">
        <v>24323.85</v>
      </c>
      <c r="H23" s="69">
        <f t="shared" si="1"/>
        <v>1.3046321208133094E-2</v>
      </c>
      <c r="J23" t="s">
        <v>195</v>
      </c>
      <c r="K23">
        <v>0.12691292186924805</v>
      </c>
    </row>
    <row r="24" spans="2:15" x14ac:dyDescent="0.3">
      <c r="B24" s="77">
        <v>45485</v>
      </c>
      <c r="C24" s="17">
        <v>2581.77</v>
      </c>
      <c r="D24" s="69">
        <f t="shared" si="0"/>
        <v>2.9524709597923193E-2</v>
      </c>
      <c r="G24" s="17">
        <v>24502.15</v>
      </c>
      <c r="H24" s="69">
        <f t="shared" si="1"/>
        <v>7.3302540510651326E-3</v>
      </c>
      <c r="J24" t="s">
        <v>196</v>
      </c>
      <c r="K24">
        <v>0.11835324463267205</v>
      </c>
    </row>
    <row r="25" spans="2:15" x14ac:dyDescent="0.3">
      <c r="B25" s="77">
        <v>45492</v>
      </c>
      <c r="C25" s="17">
        <v>2684.4</v>
      </c>
      <c r="D25" s="69">
        <f t="shared" si="0"/>
        <v>3.9751798184966214E-2</v>
      </c>
      <c r="G25" s="17">
        <v>24530.9</v>
      </c>
      <c r="H25" s="69">
        <f t="shared" si="1"/>
        <v>1.1733664188653403E-3</v>
      </c>
      <c r="J25" t="s">
        <v>197</v>
      </c>
      <c r="K25">
        <v>2.6585768440014947E-2</v>
      </c>
    </row>
    <row r="26" spans="2:15" ht="15" thickBot="1" x14ac:dyDescent="0.35">
      <c r="B26" s="77">
        <v>45499</v>
      </c>
      <c r="C26" s="17">
        <v>2669.73</v>
      </c>
      <c r="D26" s="69">
        <f t="shared" si="0"/>
        <v>-5.4649083594099368E-3</v>
      </c>
      <c r="G26" s="17">
        <v>24834.85</v>
      </c>
      <c r="H26" s="69">
        <f t="shared" si="1"/>
        <v>1.2390495252925682E-2</v>
      </c>
      <c r="J26" s="139" t="s">
        <v>198</v>
      </c>
      <c r="K26" s="139">
        <v>104</v>
      </c>
    </row>
    <row r="27" spans="2:15" x14ac:dyDescent="0.3">
      <c r="B27" s="77">
        <v>45506</v>
      </c>
      <c r="C27" s="17">
        <v>2651.77</v>
      </c>
      <c r="D27" s="69">
        <f t="shared" si="0"/>
        <v>-6.7272720462369096E-3</v>
      </c>
      <c r="G27" s="17">
        <v>24717.7</v>
      </c>
      <c r="H27" s="69">
        <f t="shared" si="1"/>
        <v>-4.7171615693268887E-3</v>
      </c>
    </row>
    <row r="28" spans="2:15" ht="15" thickBot="1" x14ac:dyDescent="0.35">
      <c r="B28" s="77">
        <v>45513</v>
      </c>
      <c r="C28" s="17">
        <v>2706.01</v>
      </c>
      <c r="D28" s="69">
        <f t="shared" si="0"/>
        <v>2.0454262624586717E-2</v>
      </c>
      <c r="G28" s="17">
        <v>24367.5</v>
      </c>
      <c r="H28" s="69">
        <f t="shared" si="1"/>
        <v>-1.4167984885325113E-2</v>
      </c>
      <c r="J28" t="s">
        <v>199</v>
      </c>
    </row>
    <row r="29" spans="2:15" x14ac:dyDescent="0.3">
      <c r="B29" s="77">
        <v>45520</v>
      </c>
      <c r="C29" s="17">
        <v>2706.5</v>
      </c>
      <c r="D29" s="69">
        <f t="shared" si="0"/>
        <v>1.810784143443378E-4</v>
      </c>
      <c r="G29" s="17">
        <v>24541.15</v>
      </c>
      <c r="H29" s="69">
        <f t="shared" si="1"/>
        <v>7.1262952703396998E-3</v>
      </c>
      <c r="J29" s="140"/>
      <c r="K29" s="140" t="s">
        <v>203</v>
      </c>
      <c r="L29" s="140" t="s">
        <v>204</v>
      </c>
      <c r="M29" s="140" t="s">
        <v>205</v>
      </c>
      <c r="N29" s="140" t="s">
        <v>206</v>
      </c>
      <c r="O29" s="140" t="s">
        <v>207</v>
      </c>
    </row>
    <row r="30" spans="2:15" x14ac:dyDescent="0.3">
      <c r="B30" s="77">
        <v>45527</v>
      </c>
      <c r="C30" s="17">
        <v>2770.3</v>
      </c>
      <c r="D30" s="69">
        <f t="shared" si="0"/>
        <v>2.3572880103454708E-2</v>
      </c>
      <c r="G30" s="17">
        <v>24823.15</v>
      </c>
      <c r="H30" s="69">
        <f t="shared" si="1"/>
        <v>1.1490904052988471E-2</v>
      </c>
      <c r="J30" t="s">
        <v>200</v>
      </c>
      <c r="K30">
        <v>1</v>
      </c>
      <c r="L30">
        <v>1.0479652683132182E-2</v>
      </c>
      <c r="M30">
        <v>1.0479652683132182E-2</v>
      </c>
      <c r="N30">
        <v>14.826834980055292</v>
      </c>
      <c r="O30">
        <v>2.0589429182947766E-4</v>
      </c>
    </row>
    <row r="31" spans="2:15" x14ac:dyDescent="0.3">
      <c r="B31" s="77">
        <v>45534</v>
      </c>
      <c r="C31" s="17">
        <v>2735.05</v>
      </c>
      <c r="D31" s="69">
        <f t="shared" si="0"/>
        <v>-1.2724253690935994E-2</v>
      </c>
      <c r="G31" s="17">
        <v>25235.9</v>
      </c>
      <c r="H31" s="69">
        <f t="shared" si="1"/>
        <v>1.6627623810837822E-2</v>
      </c>
      <c r="J31" t="s">
        <v>201</v>
      </c>
      <c r="K31">
        <v>102</v>
      </c>
      <c r="L31">
        <v>7.2093914521701677E-2</v>
      </c>
      <c r="M31">
        <v>7.0680308354609484E-4</v>
      </c>
    </row>
    <row r="32" spans="2:15" ht="15" thickBot="1" x14ac:dyDescent="0.35">
      <c r="B32" s="77">
        <v>45541</v>
      </c>
      <c r="C32" s="17">
        <v>2794.47</v>
      </c>
      <c r="D32" s="69">
        <f t="shared" si="0"/>
        <v>2.1725379791959876E-2</v>
      </c>
      <c r="G32" s="17">
        <v>24852.15</v>
      </c>
      <c r="H32" s="69">
        <f t="shared" si="1"/>
        <v>-1.5206511358818231E-2</v>
      </c>
      <c r="J32" s="139" t="s">
        <v>13</v>
      </c>
      <c r="K32" s="139">
        <v>103</v>
      </c>
      <c r="L32" s="139">
        <v>8.2573567204833859E-2</v>
      </c>
      <c r="M32" s="139"/>
      <c r="N32" s="139"/>
      <c r="O32" s="139"/>
    </row>
    <row r="33" spans="2:18" ht="15" thickBot="1" x14ac:dyDescent="0.35">
      <c r="B33" s="77">
        <v>45548</v>
      </c>
      <c r="C33" s="17">
        <v>2888.49</v>
      </c>
      <c r="D33" s="69">
        <f t="shared" si="0"/>
        <v>3.3645020343750387E-2</v>
      </c>
      <c r="G33" s="17">
        <v>25356.5</v>
      </c>
      <c r="H33" s="69">
        <f t="shared" si="1"/>
        <v>2.0294018827344829E-2</v>
      </c>
    </row>
    <row r="34" spans="2:18" x14ac:dyDescent="0.3">
      <c r="B34" s="77">
        <v>45555</v>
      </c>
      <c r="C34" s="17">
        <v>2933.43</v>
      </c>
      <c r="D34" s="69">
        <f t="shared" si="0"/>
        <v>1.5558302088634512E-2</v>
      </c>
      <c r="G34" s="17">
        <v>25790.95</v>
      </c>
      <c r="H34" s="69">
        <f t="shared" si="1"/>
        <v>1.7133673811448702E-2</v>
      </c>
      <c r="J34" s="140"/>
      <c r="K34" s="140" t="s">
        <v>208</v>
      </c>
      <c r="L34" s="140" t="s">
        <v>197</v>
      </c>
      <c r="M34" s="140" t="s">
        <v>209</v>
      </c>
      <c r="N34" s="140" t="s">
        <v>210</v>
      </c>
      <c r="O34" s="140" t="s">
        <v>211</v>
      </c>
      <c r="P34" s="140" t="s">
        <v>212</v>
      </c>
      <c r="Q34" s="140" t="s">
        <v>213</v>
      </c>
      <c r="R34" s="140" t="s">
        <v>214</v>
      </c>
    </row>
    <row r="35" spans="2:18" x14ac:dyDescent="0.3">
      <c r="B35" s="77">
        <v>45562</v>
      </c>
      <c r="C35" s="17">
        <v>2920.04</v>
      </c>
      <c r="D35" s="69">
        <f t="shared" si="0"/>
        <v>-4.5646223022195453E-3</v>
      </c>
      <c r="G35" s="17">
        <v>26178.95</v>
      </c>
      <c r="H35" s="69">
        <f t="shared" si="1"/>
        <v>1.5044036764834123E-2</v>
      </c>
      <c r="J35" t="s">
        <v>202</v>
      </c>
      <c r="K35">
        <v>-4.45962894344432E-4</v>
      </c>
      <c r="L35">
        <v>2.6069760226571309E-3</v>
      </c>
      <c r="M35">
        <v>-0.1710652075310955</v>
      </c>
      <c r="N35">
        <v>0.86451138672064287</v>
      </c>
      <c r="O35">
        <v>-5.6168874744719696E-3</v>
      </c>
      <c r="P35">
        <v>4.7249616857831054E-3</v>
      </c>
      <c r="Q35">
        <v>-5.6168874744719696E-3</v>
      </c>
      <c r="R35">
        <v>4.7249616857831054E-3</v>
      </c>
    </row>
    <row r="36" spans="2:18" ht="15" thickBot="1" x14ac:dyDescent="0.35">
      <c r="B36" s="77">
        <v>45569</v>
      </c>
      <c r="C36" s="17">
        <v>2804.71</v>
      </c>
      <c r="D36" s="69">
        <f t="shared" si="0"/>
        <v>-3.9496034300899985E-2</v>
      </c>
      <c r="G36" s="17">
        <v>25014.6</v>
      </c>
      <c r="H36" s="69">
        <f t="shared" si="1"/>
        <v>-4.4476573735768743E-2</v>
      </c>
      <c r="J36" s="139" t="s">
        <v>215</v>
      </c>
      <c r="K36" s="139">
        <v>0.56387808841387876</v>
      </c>
      <c r="L36" s="139">
        <v>0.14644042876898566</v>
      </c>
      <c r="M36" s="139">
        <v>3.8505629432662616</v>
      </c>
      <c r="N36" s="139">
        <v>2.0589429182947303E-4</v>
      </c>
      <c r="O36" s="139">
        <v>0.27341419228868036</v>
      </c>
      <c r="P36" s="139">
        <v>0.85434198453907717</v>
      </c>
      <c r="Q36" s="139">
        <v>0.27341419228868036</v>
      </c>
      <c r="R36" s="139">
        <v>0.85434198453907717</v>
      </c>
    </row>
    <row r="37" spans="2:18" x14ac:dyDescent="0.3">
      <c r="B37" s="77">
        <v>45576</v>
      </c>
      <c r="C37" s="17">
        <v>2737.47</v>
      </c>
      <c r="D37" s="69">
        <f t="shared" si="0"/>
        <v>-2.3973958091924041E-2</v>
      </c>
      <c r="G37" s="17">
        <v>24964.25</v>
      </c>
      <c r="H37" s="69">
        <f t="shared" si="1"/>
        <v>-2.0128245104857889E-3</v>
      </c>
    </row>
    <row r="38" spans="2:18" x14ac:dyDescent="0.3">
      <c r="B38" s="77">
        <v>45583</v>
      </c>
      <c r="C38" s="17">
        <v>2673.57</v>
      </c>
      <c r="D38" s="69">
        <f t="shared" si="0"/>
        <v>-2.33427215640718E-2</v>
      </c>
      <c r="G38" s="17">
        <v>24854.05</v>
      </c>
      <c r="H38" s="69">
        <f t="shared" si="1"/>
        <v>-4.4143124668275524E-3</v>
      </c>
    </row>
    <row r="39" spans="2:18" x14ac:dyDescent="0.3">
      <c r="B39" s="77">
        <v>45590</v>
      </c>
      <c r="C39" s="17">
        <v>2488.39</v>
      </c>
      <c r="D39" s="69">
        <f t="shared" si="0"/>
        <v>-6.926319490419186E-2</v>
      </c>
      <c r="G39" s="17">
        <v>24180.799999999999</v>
      </c>
      <c r="H39" s="69">
        <f t="shared" si="1"/>
        <v>-2.7088140564616281E-2</v>
      </c>
    </row>
    <row r="40" spans="2:18" x14ac:dyDescent="0.3">
      <c r="B40" s="77">
        <v>45597</v>
      </c>
      <c r="C40" s="17">
        <v>2499.02</v>
      </c>
      <c r="D40" s="69">
        <f t="shared" si="0"/>
        <v>4.2718384176114732E-3</v>
      </c>
      <c r="G40" s="17">
        <v>24304.35</v>
      </c>
      <c r="H40" s="69">
        <f t="shared" si="1"/>
        <v>5.1094256600276999E-3</v>
      </c>
    </row>
    <row r="41" spans="2:18" x14ac:dyDescent="0.3">
      <c r="B41" s="77">
        <v>45604</v>
      </c>
      <c r="C41" s="17">
        <v>2468.65</v>
      </c>
      <c r="D41" s="69">
        <f t="shared" si="0"/>
        <v>-1.2152763883442219E-2</v>
      </c>
      <c r="G41" s="17">
        <v>24148.2</v>
      </c>
      <c r="H41" s="69">
        <f t="shared" si="1"/>
        <v>-6.4247758117372822E-3</v>
      </c>
    </row>
    <row r="42" spans="2:18" x14ac:dyDescent="0.3">
      <c r="B42" s="77">
        <v>45610</v>
      </c>
      <c r="C42" s="17">
        <v>2352.0300000000002</v>
      </c>
      <c r="D42" s="69">
        <f t="shared" si="0"/>
        <v>-4.7240394547627185E-2</v>
      </c>
      <c r="G42" s="17">
        <v>23532.7</v>
      </c>
      <c r="H42" s="69">
        <f t="shared" si="1"/>
        <v>-2.5488442202731498E-2</v>
      </c>
    </row>
    <row r="43" spans="2:18" x14ac:dyDescent="0.3">
      <c r="B43" s="77">
        <v>45618</v>
      </c>
      <c r="C43" s="17">
        <v>2407.5100000000002</v>
      </c>
      <c r="D43" s="69">
        <f t="shared" si="0"/>
        <v>2.3588134505087011E-2</v>
      </c>
      <c r="G43" s="17">
        <v>23907.25</v>
      </c>
      <c r="H43" s="69">
        <f t="shared" si="1"/>
        <v>1.5916150717937061E-2</v>
      </c>
    </row>
    <row r="44" spans="2:18" x14ac:dyDescent="0.3">
      <c r="B44" s="77">
        <v>45625</v>
      </c>
      <c r="C44" s="17">
        <v>2457.5700000000002</v>
      </c>
      <c r="D44" s="69">
        <f t="shared" si="0"/>
        <v>2.0793267733052012E-2</v>
      </c>
      <c r="G44" s="17">
        <v>24131.1</v>
      </c>
      <c r="H44" s="69">
        <f t="shared" si="1"/>
        <v>9.3632684645870157E-3</v>
      </c>
    </row>
    <row r="45" spans="2:18" x14ac:dyDescent="0.3">
      <c r="B45" s="77">
        <v>45632</v>
      </c>
      <c r="C45" s="17">
        <v>2445.66</v>
      </c>
      <c r="D45" s="69">
        <f t="shared" si="0"/>
        <v>-4.8462505645822107E-3</v>
      </c>
      <c r="G45" s="17">
        <v>24677.8</v>
      </c>
      <c r="H45" s="69">
        <f t="shared" si="1"/>
        <v>2.2655411481449228E-2</v>
      </c>
    </row>
    <row r="46" spans="2:18" x14ac:dyDescent="0.3">
      <c r="B46" s="77">
        <v>45639</v>
      </c>
      <c r="C46" s="17">
        <v>2352.4299999999998</v>
      </c>
      <c r="D46" s="69">
        <f t="shared" si="0"/>
        <v>-3.8120589125225868E-2</v>
      </c>
      <c r="G46" s="17">
        <v>24768.3</v>
      </c>
      <c r="H46" s="69">
        <f t="shared" si="1"/>
        <v>3.6672636944945491E-3</v>
      </c>
    </row>
    <row r="47" spans="2:18" x14ac:dyDescent="0.3">
      <c r="B47" s="77">
        <v>45646</v>
      </c>
      <c r="C47" s="17">
        <v>2298.77</v>
      </c>
      <c r="D47" s="69">
        <f t="shared" si="0"/>
        <v>-2.2810455571472876E-2</v>
      </c>
      <c r="G47" s="17">
        <v>23587.5</v>
      </c>
      <c r="H47" s="69">
        <f t="shared" si="1"/>
        <v>-4.7673841159869612E-2</v>
      </c>
    </row>
    <row r="48" spans="2:18" x14ac:dyDescent="0.3">
      <c r="B48" s="77">
        <v>45653</v>
      </c>
      <c r="C48" s="17">
        <v>2303.9899999999998</v>
      </c>
      <c r="D48" s="69">
        <f t="shared" si="0"/>
        <v>2.2707795908245565E-3</v>
      </c>
      <c r="G48" s="17">
        <v>23813.4</v>
      </c>
      <c r="H48" s="69">
        <f t="shared" si="1"/>
        <v>9.5771065182830295E-3</v>
      </c>
    </row>
    <row r="49" spans="2:8" x14ac:dyDescent="0.3">
      <c r="B49" s="77">
        <v>45660</v>
      </c>
      <c r="C49" s="17">
        <v>2368.23</v>
      </c>
      <c r="D49" s="69">
        <f t="shared" si="0"/>
        <v>2.7882065460353767E-2</v>
      </c>
      <c r="G49" s="17">
        <v>24004.75</v>
      </c>
      <c r="H49" s="69">
        <f t="shared" si="1"/>
        <v>8.035391838208783E-3</v>
      </c>
    </row>
    <row r="50" spans="2:8" x14ac:dyDescent="0.3">
      <c r="B50" s="77">
        <v>45667</v>
      </c>
      <c r="C50" s="17">
        <v>2404.11</v>
      </c>
      <c r="D50" s="69">
        <f t="shared" si="0"/>
        <v>1.5150555478141925E-2</v>
      </c>
      <c r="G50" s="17">
        <v>23431.5</v>
      </c>
      <c r="H50" s="69">
        <f t="shared" si="1"/>
        <v>-2.3880690280048689E-2</v>
      </c>
    </row>
    <row r="51" spans="2:8" x14ac:dyDescent="0.3">
      <c r="B51" s="77">
        <v>45674</v>
      </c>
      <c r="C51" s="17">
        <v>2317.77</v>
      </c>
      <c r="D51" s="69">
        <f t="shared" si="0"/>
        <v>-3.5913498134444777E-2</v>
      </c>
      <c r="G51" s="17">
        <v>23203.200000000001</v>
      </c>
      <c r="H51" s="69">
        <f t="shared" si="1"/>
        <v>-9.7432942833365344E-3</v>
      </c>
    </row>
    <row r="52" spans="2:8" x14ac:dyDescent="0.3">
      <c r="B52" s="77">
        <v>45681</v>
      </c>
      <c r="C52" s="17">
        <v>2332.19</v>
      </c>
      <c r="D52" s="69">
        <f t="shared" si="0"/>
        <v>6.2214973875751589E-3</v>
      </c>
      <c r="G52" s="17">
        <v>23092.2</v>
      </c>
      <c r="H52" s="69">
        <f t="shared" si="1"/>
        <v>-4.7838229209764549E-3</v>
      </c>
    </row>
    <row r="53" spans="2:8" x14ac:dyDescent="0.3">
      <c r="B53" s="77">
        <v>45688</v>
      </c>
      <c r="C53" s="17">
        <v>2433.0100000000002</v>
      </c>
      <c r="D53" s="69">
        <f t="shared" si="0"/>
        <v>4.3229754008035526E-2</v>
      </c>
      <c r="G53" s="17">
        <v>23508.400000000001</v>
      </c>
      <c r="H53" s="69">
        <f t="shared" si="1"/>
        <v>1.8023401841314346E-2</v>
      </c>
    </row>
    <row r="54" spans="2:8" x14ac:dyDescent="0.3">
      <c r="B54" s="77">
        <v>45695</v>
      </c>
      <c r="C54" s="17">
        <v>2327.0300000000002</v>
      </c>
      <c r="D54" s="69">
        <f t="shared" si="0"/>
        <v>-4.355921266250451E-2</v>
      </c>
      <c r="G54" s="17">
        <v>23559.95</v>
      </c>
      <c r="H54" s="69">
        <f t="shared" si="1"/>
        <v>2.1928332000475947E-3</v>
      </c>
    </row>
    <row r="55" spans="2:8" x14ac:dyDescent="0.3">
      <c r="B55" s="77">
        <v>45702</v>
      </c>
      <c r="C55" s="17">
        <v>2282.13</v>
      </c>
      <c r="D55" s="69">
        <f t="shared" si="0"/>
        <v>-1.9294981156237845E-2</v>
      </c>
      <c r="G55" s="17">
        <v>22929.25</v>
      </c>
      <c r="H55" s="69">
        <f t="shared" si="1"/>
        <v>-2.6770005878620329E-2</v>
      </c>
    </row>
    <row r="56" spans="2:8" x14ac:dyDescent="0.3">
      <c r="B56" s="77">
        <v>45709</v>
      </c>
      <c r="C56" s="17">
        <v>2206.87</v>
      </c>
      <c r="D56" s="69">
        <f t="shared" si="0"/>
        <v>-3.2977963569121971E-2</v>
      </c>
      <c r="G56" s="17">
        <v>22795.9</v>
      </c>
      <c r="H56" s="69">
        <f t="shared" si="1"/>
        <v>-5.8157157342695331E-3</v>
      </c>
    </row>
    <row r="57" spans="2:8" x14ac:dyDescent="0.3">
      <c r="B57" s="77">
        <v>45716</v>
      </c>
      <c r="C57" s="17">
        <v>2157.84</v>
      </c>
      <c r="D57" s="69">
        <f t="shared" si="0"/>
        <v>-2.2216986048113285E-2</v>
      </c>
      <c r="G57" s="17">
        <v>22124.7</v>
      </c>
      <c r="H57" s="69">
        <f t="shared" si="1"/>
        <v>-2.9443891226053842E-2</v>
      </c>
    </row>
    <row r="58" spans="2:8" x14ac:dyDescent="0.3">
      <c r="B58" s="77">
        <v>45723</v>
      </c>
      <c r="C58" s="17">
        <v>2169.65</v>
      </c>
      <c r="D58" s="69">
        <f t="shared" si="0"/>
        <v>5.4730656582508974E-3</v>
      </c>
      <c r="G58" s="17">
        <v>22552.5</v>
      </c>
      <c r="H58" s="69">
        <f t="shared" si="1"/>
        <v>1.9335855401429125E-2</v>
      </c>
    </row>
    <row r="59" spans="2:8" x14ac:dyDescent="0.3">
      <c r="B59" s="77">
        <v>45729</v>
      </c>
      <c r="C59" s="17">
        <v>2142.14</v>
      </c>
      <c r="D59" s="69">
        <f t="shared" si="0"/>
        <v>-1.2679464429746878E-2</v>
      </c>
      <c r="G59" s="17">
        <v>22397.200000000001</v>
      </c>
      <c r="H59" s="69">
        <f t="shared" si="1"/>
        <v>-6.8861545283227521E-3</v>
      </c>
    </row>
    <row r="60" spans="2:8" x14ac:dyDescent="0.3">
      <c r="B60" s="77">
        <v>45737</v>
      </c>
      <c r="C60" s="17">
        <v>2212.63</v>
      </c>
      <c r="D60" s="69">
        <f t="shared" si="0"/>
        <v>3.2906345990458163E-2</v>
      </c>
      <c r="G60" s="17">
        <v>23350.400000000001</v>
      </c>
      <c r="H60" s="69">
        <f t="shared" si="1"/>
        <v>4.2558891289982803E-2</v>
      </c>
    </row>
    <row r="61" spans="2:8" x14ac:dyDescent="0.3">
      <c r="B61" s="77">
        <v>45744</v>
      </c>
      <c r="C61" s="17">
        <v>2224.34</v>
      </c>
      <c r="D61" s="69">
        <f t="shared" si="0"/>
        <v>5.2923444046226731E-3</v>
      </c>
      <c r="G61" s="17">
        <v>23519.35</v>
      </c>
      <c r="H61" s="69">
        <f t="shared" si="1"/>
        <v>7.2354220912702605E-3</v>
      </c>
    </row>
    <row r="62" spans="2:8" x14ac:dyDescent="0.3">
      <c r="B62" s="77">
        <v>45751</v>
      </c>
      <c r="C62" s="17">
        <v>2209.67</v>
      </c>
      <c r="D62" s="69">
        <f t="shared" si="0"/>
        <v>-6.5952147603334232E-3</v>
      </c>
      <c r="G62" s="17">
        <v>22904.45</v>
      </c>
      <c r="H62" s="69">
        <f t="shared" si="1"/>
        <v>-2.6144430011883713E-2</v>
      </c>
    </row>
    <row r="63" spans="2:8" x14ac:dyDescent="0.3">
      <c r="B63" s="77">
        <v>45758</v>
      </c>
      <c r="C63" s="17">
        <v>2329.9299999999998</v>
      </c>
      <c r="D63" s="69">
        <f t="shared" si="0"/>
        <v>5.4424416315558277E-2</v>
      </c>
      <c r="G63" s="17">
        <v>22828.55</v>
      </c>
      <c r="H63" s="69">
        <f t="shared" si="1"/>
        <v>-3.3137665388167648E-3</v>
      </c>
    </row>
    <row r="64" spans="2:8" x14ac:dyDescent="0.3">
      <c r="B64" s="77">
        <v>45764</v>
      </c>
      <c r="C64" s="17">
        <v>2337.86</v>
      </c>
      <c r="D64" s="69">
        <f t="shared" si="0"/>
        <v>3.4035357285413514E-3</v>
      </c>
      <c r="G64" s="17">
        <v>23851.65</v>
      </c>
      <c r="H64" s="69">
        <f t="shared" si="1"/>
        <v>4.4816687875489425E-2</v>
      </c>
    </row>
    <row r="65" spans="2:8" x14ac:dyDescent="0.3">
      <c r="B65" s="77">
        <v>45772</v>
      </c>
      <c r="C65" s="17">
        <v>2295.4699999999998</v>
      </c>
      <c r="D65" s="69">
        <f t="shared" si="0"/>
        <v>-1.8131966841470559E-2</v>
      </c>
      <c r="G65" s="17">
        <v>24039.35</v>
      </c>
      <c r="H65" s="69">
        <f t="shared" si="1"/>
        <v>7.86947653516612E-3</v>
      </c>
    </row>
    <row r="66" spans="2:8" x14ac:dyDescent="0.3">
      <c r="B66" s="77">
        <v>45779</v>
      </c>
      <c r="C66" s="17">
        <v>2287.15</v>
      </c>
      <c r="D66" s="69">
        <f t="shared" si="0"/>
        <v>-3.6245300526688284E-3</v>
      </c>
      <c r="G66" s="17">
        <v>24346.7</v>
      </c>
      <c r="H66" s="69">
        <f t="shared" si="1"/>
        <v>1.2785287455775673E-2</v>
      </c>
    </row>
    <row r="67" spans="2:8" x14ac:dyDescent="0.3">
      <c r="B67" s="77">
        <v>45786</v>
      </c>
      <c r="C67" s="17">
        <v>2297.79</v>
      </c>
      <c r="D67" s="69">
        <f t="shared" si="0"/>
        <v>4.6520779135605927E-3</v>
      </c>
      <c r="G67" s="17">
        <v>24008</v>
      </c>
      <c r="H67" s="69">
        <f t="shared" si="1"/>
        <v>-1.391153626569519E-2</v>
      </c>
    </row>
    <row r="68" spans="2:8" x14ac:dyDescent="0.3">
      <c r="B68" s="77">
        <v>45793</v>
      </c>
      <c r="C68" s="17">
        <v>2344.11</v>
      </c>
      <c r="D68" s="69">
        <f t="shared" si="0"/>
        <v>2.0158500124032308E-2</v>
      </c>
      <c r="G68" s="17">
        <v>25019.8</v>
      </c>
      <c r="H68" s="69">
        <f t="shared" si="1"/>
        <v>4.2144285238253865E-2</v>
      </c>
    </row>
    <row r="69" spans="2:8" x14ac:dyDescent="0.3">
      <c r="B69" s="77">
        <v>45800</v>
      </c>
      <c r="C69" s="17">
        <v>2321.2199999999998</v>
      </c>
      <c r="D69" s="69">
        <f t="shared" si="0"/>
        <v>-9.7649001113430112E-3</v>
      </c>
      <c r="G69" s="17">
        <v>24853.15</v>
      </c>
      <c r="H69" s="69">
        <f t="shared" si="1"/>
        <v>-6.660724706032739E-3</v>
      </c>
    </row>
    <row r="70" spans="2:8" x14ac:dyDescent="0.3">
      <c r="B70" s="77">
        <v>45807</v>
      </c>
      <c r="C70" s="17">
        <v>2312.9499999999998</v>
      </c>
      <c r="D70" s="69">
        <f t="shared" si="0"/>
        <v>-3.5627816406889057E-3</v>
      </c>
      <c r="G70" s="17">
        <v>24750.7</v>
      </c>
      <c r="H70" s="69">
        <f t="shared" si="1"/>
        <v>-4.1222138843567402E-3</v>
      </c>
    </row>
    <row r="71" spans="2:8" x14ac:dyDescent="0.3">
      <c r="B71" s="77">
        <v>45814</v>
      </c>
      <c r="C71" s="17">
        <v>2351.84</v>
      </c>
      <c r="D71" s="69">
        <f t="shared" si="0"/>
        <v>1.6814025378845354E-2</v>
      </c>
      <c r="G71" s="17">
        <v>25003.05</v>
      </c>
      <c r="H71" s="69">
        <f t="shared" si="1"/>
        <v>1.0195671233540704E-2</v>
      </c>
    </row>
    <row r="72" spans="2:8" x14ac:dyDescent="0.3">
      <c r="B72" s="77">
        <v>45821</v>
      </c>
      <c r="C72" s="17">
        <v>2283.17</v>
      </c>
      <c r="D72" s="69">
        <f t="shared" si="0"/>
        <v>-2.9198414858153665E-2</v>
      </c>
      <c r="G72" s="17">
        <v>24718.6</v>
      </c>
      <c r="H72" s="69">
        <f t="shared" si="1"/>
        <v>-1.1376612053329516E-2</v>
      </c>
    </row>
    <row r="73" spans="2:8" x14ac:dyDescent="0.3">
      <c r="B73" s="77">
        <v>45828</v>
      </c>
      <c r="C73" s="17">
        <v>2269.19</v>
      </c>
      <c r="D73" s="69">
        <f t="shared" si="0"/>
        <v>-6.1230657375491715E-3</v>
      </c>
      <c r="G73" s="17">
        <v>25112.400000000001</v>
      </c>
      <c r="H73" s="69">
        <f t="shared" si="1"/>
        <v>1.5931322971365791E-2</v>
      </c>
    </row>
    <row r="74" spans="2:8" x14ac:dyDescent="0.3">
      <c r="B74" s="77">
        <v>45835</v>
      </c>
      <c r="C74" s="17">
        <v>2270.42</v>
      </c>
      <c r="D74" s="69">
        <f t="shared" si="0"/>
        <v>5.4204363671628286E-4</v>
      </c>
      <c r="G74" s="17">
        <v>25637.8</v>
      </c>
      <c r="H74" s="69">
        <f t="shared" si="1"/>
        <v>2.092193498032846E-2</v>
      </c>
    </row>
    <row r="75" spans="2:8" x14ac:dyDescent="0.3">
      <c r="B75" s="77">
        <v>45842</v>
      </c>
      <c r="C75" s="17">
        <v>2303.5500000000002</v>
      </c>
      <c r="D75" s="69">
        <f t="shared" si="0"/>
        <v>1.4592013812422477E-2</v>
      </c>
      <c r="G75" s="17">
        <v>25461</v>
      </c>
      <c r="H75" s="69">
        <f t="shared" si="1"/>
        <v>-6.8960675252947023E-3</v>
      </c>
    </row>
    <row r="76" spans="2:8" x14ac:dyDescent="0.3">
      <c r="B76" s="77">
        <v>45849</v>
      </c>
      <c r="C76" s="17">
        <v>2481.0500000000002</v>
      </c>
      <c r="D76" s="69">
        <f t="shared" ref="D76:D114" si="2">C76/C75-1</f>
        <v>7.7054980356406455E-2</v>
      </c>
      <c r="G76" s="17">
        <v>25149.85</v>
      </c>
      <c r="H76" s="69">
        <f t="shared" ref="H76:H114" si="3">G76/G75-1</f>
        <v>-1.2220651192019205E-2</v>
      </c>
    </row>
    <row r="77" spans="2:8" x14ac:dyDescent="0.3">
      <c r="B77" s="77">
        <v>45856</v>
      </c>
      <c r="C77" s="17">
        <v>2450.34</v>
      </c>
      <c r="D77" s="69">
        <f t="shared" si="2"/>
        <v>-1.2377823905201479E-2</v>
      </c>
      <c r="G77" s="17">
        <v>24968.400000000001</v>
      </c>
      <c r="H77" s="69">
        <f t="shared" si="3"/>
        <v>-7.214754759968578E-3</v>
      </c>
    </row>
    <row r="78" spans="2:8" x14ac:dyDescent="0.3">
      <c r="B78" s="77">
        <v>45863</v>
      </c>
      <c r="C78" s="17">
        <v>2377.6799999999998</v>
      </c>
      <c r="D78" s="69">
        <f t="shared" si="2"/>
        <v>-2.9653027743088867E-2</v>
      </c>
      <c r="G78" s="17">
        <v>24837</v>
      </c>
      <c r="H78" s="69">
        <f t="shared" si="3"/>
        <v>-5.2626519921180615E-3</v>
      </c>
    </row>
    <row r="79" spans="2:8" x14ac:dyDescent="0.3">
      <c r="B79" s="77">
        <v>45870</v>
      </c>
      <c r="C79" s="17">
        <v>2511.8200000000002</v>
      </c>
      <c r="D79" s="69">
        <f t="shared" si="2"/>
        <v>5.6416338615793649E-2</v>
      </c>
      <c r="G79" s="17">
        <v>24565.35</v>
      </c>
      <c r="H79" s="69">
        <f t="shared" si="3"/>
        <v>-1.0937311269477057E-2</v>
      </c>
    </row>
    <row r="80" spans="2:8" x14ac:dyDescent="0.3">
      <c r="B80" s="77">
        <v>45877</v>
      </c>
      <c r="C80" s="17">
        <v>2459.69</v>
      </c>
      <c r="D80" s="69">
        <f t="shared" si="2"/>
        <v>-2.0753875675804889E-2</v>
      </c>
      <c r="G80" s="17">
        <v>24363.3</v>
      </c>
      <c r="H80" s="69">
        <f t="shared" si="3"/>
        <v>-8.2249998473459263E-3</v>
      </c>
    </row>
    <row r="81" spans="2:8" x14ac:dyDescent="0.3">
      <c r="B81" s="77">
        <v>45883</v>
      </c>
      <c r="C81" s="17">
        <v>2444.48</v>
      </c>
      <c r="D81" s="69">
        <f t="shared" si="2"/>
        <v>-6.1837060767820917E-3</v>
      </c>
      <c r="G81" s="17">
        <v>24631.3</v>
      </c>
      <c r="H81" s="69">
        <f t="shared" si="3"/>
        <v>1.100015186776826E-2</v>
      </c>
    </row>
    <row r="82" spans="2:8" x14ac:dyDescent="0.3">
      <c r="B82" s="77">
        <v>45891</v>
      </c>
      <c r="C82" s="17">
        <v>2588.12</v>
      </c>
      <c r="D82" s="69">
        <f t="shared" si="2"/>
        <v>5.8760963476894856E-2</v>
      </c>
      <c r="G82" s="17">
        <v>24870.1</v>
      </c>
      <c r="H82" s="69">
        <f t="shared" si="3"/>
        <v>9.6949815884666002E-3</v>
      </c>
    </row>
    <row r="83" spans="2:8" x14ac:dyDescent="0.3">
      <c r="B83" s="77">
        <v>45898</v>
      </c>
      <c r="C83" s="17">
        <v>2618.7800000000002</v>
      </c>
      <c r="D83" s="69">
        <f t="shared" si="2"/>
        <v>1.1846436795821091E-2</v>
      </c>
      <c r="G83" s="17">
        <v>24426.85</v>
      </c>
      <c r="H83" s="69">
        <f t="shared" si="3"/>
        <v>-1.7822606262138052E-2</v>
      </c>
    </row>
    <row r="84" spans="2:8" x14ac:dyDescent="0.3">
      <c r="B84" s="77">
        <v>45905</v>
      </c>
      <c r="C84" s="17">
        <v>2592.4</v>
      </c>
      <c r="D84" s="69">
        <f t="shared" si="2"/>
        <v>-1.0073392953971028E-2</v>
      </c>
      <c r="G84" s="17">
        <v>24741</v>
      </c>
      <c r="H84" s="69">
        <f t="shared" si="3"/>
        <v>1.2860847796584585E-2</v>
      </c>
    </row>
    <row r="85" spans="2:8" x14ac:dyDescent="0.3">
      <c r="B85" s="77">
        <v>45912</v>
      </c>
      <c r="C85" s="17">
        <v>2540.3200000000002</v>
      </c>
      <c r="D85" s="69">
        <f t="shared" si="2"/>
        <v>-2.008949236228974E-2</v>
      </c>
      <c r="G85" s="17">
        <v>25114</v>
      </c>
      <c r="H85" s="69">
        <f t="shared" si="3"/>
        <v>1.5076189321369338E-2</v>
      </c>
    </row>
    <row r="86" spans="2:8" x14ac:dyDescent="0.3">
      <c r="B86" s="77">
        <v>45919</v>
      </c>
      <c r="C86" s="17">
        <v>2519.1999999999998</v>
      </c>
      <c r="D86" s="69">
        <f t="shared" si="2"/>
        <v>-8.313913207784962E-3</v>
      </c>
      <c r="G86" s="17">
        <v>25327.05</v>
      </c>
      <c r="H86" s="69">
        <f t="shared" si="3"/>
        <v>8.4833160786812467E-3</v>
      </c>
    </row>
    <row r="87" spans="2:8" x14ac:dyDescent="0.3">
      <c r="B87" s="77">
        <v>45926</v>
      </c>
      <c r="C87" s="17">
        <v>2471.9499999999998</v>
      </c>
      <c r="D87" s="69">
        <f t="shared" si="2"/>
        <v>-1.875595427119725E-2</v>
      </c>
      <c r="G87" s="17">
        <v>24654.7</v>
      </c>
      <c r="H87" s="69">
        <f t="shared" si="3"/>
        <v>-2.6546715863079107E-2</v>
      </c>
    </row>
    <row r="88" spans="2:8" x14ac:dyDescent="0.3">
      <c r="B88" s="77">
        <v>45933</v>
      </c>
      <c r="C88" s="17">
        <v>2504.88</v>
      </c>
      <c r="D88" s="69">
        <f t="shared" si="2"/>
        <v>1.3321466858148501E-2</v>
      </c>
      <c r="G88" s="17">
        <v>24894.25</v>
      </c>
      <c r="H88" s="69">
        <f t="shared" si="3"/>
        <v>9.7162001565624934E-3</v>
      </c>
    </row>
    <row r="89" spans="2:8" x14ac:dyDescent="0.3">
      <c r="B89" s="77">
        <v>45940</v>
      </c>
      <c r="C89" s="17">
        <v>2489.91</v>
      </c>
      <c r="D89" s="69">
        <f t="shared" si="2"/>
        <v>-5.9763341956502458E-3</v>
      </c>
      <c r="G89" s="17">
        <v>25285.35</v>
      </c>
      <c r="H89" s="69">
        <f t="shared" si="3"/>
        <v>1.5710455225604214E-2</v>
      </c>
    </row>
    <row r="90" spans="2:8" x14ac:dyDescent="0.3">
      <c r="B90" s="77">
        <v>45947</v>
      </c>
      <c r="C90" s="17">
        <v>2564.39</v>
      </c>
      <c r="D90" s="69">
        <f t="shared" si="2"/>
        <v>2.9912727769276781E-2</v>
      </c>
      <c r="G90" s="17">
        <v>25709.85</v>
      </c>
      <c r="H90" s="69">
        <f t="shared" si="3"/>
        <v>1.6788377459675319E-2</v>
      </c>
    </row>
    <row r="91" spans="2:8" x14ac:dyDescent="0.3">
      <c r="B91" s="77">
        <v>45954</v>
      </c>
      <c r="C91" s="17">
        <v>2478.39</v>
      </c>
      <c r="D91" s="69">
        <f t="shared" si="2"/>
        <v>-3.35362405874301E-2</v>
      </c>
      <c r="G91" s="17">
        <v>25795.15</v>
      </c>
      <c r="H91" s="69">
        <f t="shared" si="3"/>
        <v>3.3177945417808274E-3</v>
      </c>
    </row>
    <row r="92" spans="2:8" x14ac:dyDescent="0.3">
      <c r="B92" s="77">
        <v>45961</v>
      </c>
      <c r="C92" s="17">
        <v>2428.4299999999998</v>
      </c>
      <c r="D92" s="69">
        <f t="shared" si="2"/>
        <v>-2.0158247894802694E-2</v>
      </c>
      <c r="G92" s="17">
        <v>25722.1</v>
      </c>
      <c r="H92" s="69">
        <f t="shared" si="3"/>
        <v>-2.8319277073404203E-3</v>
      </c>
    </row>
    <row r="93" spans="2:8" x14ac:dyDescent="0.3">
      <c r="B93" s="77">
        <v>45968</v>
      </c>
      <c r="C93" s="17">
        <v>2377.09</v>
      </c>
      <c r="D93" s="69">
        <f t="shared" si="2"/>
        <v>-2.1141231165814789E-2</v>
      </c>
      <c r="G93" s="17">
        <v>25492.3</v>
      </c>
      <c r="H93" s="69">
        <f t="shared" si="3"/>
        <v>-8.9339517379996014E-3</v>
      </c>
    </row>
    <row r="94" spans="2:8" x14ac:dyDescent="0.3">
      <c r="B94" s="77">
        <v>45975</v>
      </c>
      <c r="C94" s="17">
        <v>2389.15</v>
      </c>
      <c r="D94" s="69">
        <f t="shared" si="2"/>
        <v>5.0734301183379404E-3</v>
      </c>
      <c r="G94" s="17">
        <v>25910.05</v>
      </c>
      <c r="H94" s="69">
        <f t="shared" si="3"/>
        <v>1.6387301263518728E-2</v>
      </c>
    </row>
    <row r="95" spans="2:8" x14ac:dyDescent="0.3">
      <c r="B95" s="77">
        <v>45982</v>
      </c>
      <c r="C95" s="17">
        <v>2396.63</v>
      </c>
      <c r="D95" s="69">
        <f t="shared" si="2"/>
        <v>3.1308205847266901E-3</v>
      </c>
      <c r="G95" s="17">
        <v>26068.15</v>
      </c>
      <c r="H95" s="69">
        <f t="shared" si="3"/>
        <v>6.1018793865701415E-3</v>
      </c>
    </row>
    <row r="96" spans="2:8" x14ac:dyDescent="0.3">
      <c r="B96" s="77">
        <v>45989</v>
      </c>
      <c r="C96" s="17">
        <v>2428.77</v>
      </c>
      <c r="D96" s="69">
        <f t="shared" si="2"/>
        <v>1.3410497239874308E-2</v>
      </c>
      <c r="G96" s="17">
        <v>26202.95</v>
      </c>
      <c r="H96" s="69">
        <f t="shared" si="3"/>
        <v>5.1710612375637233E-3</v>
      </c>
    </row>
    <row r="97" spans="2:8" x14ac:dyDescent="0.3">
      <c r="B97" s="77">
        <v>45996</v>
      </c>
      <c r="C97" s="17">
        <v>2339</v>
      </c>
      <c r="D97" s="69">
        <f t="shared" si="2"/>
        <v>-3.6961095533953436E-2</v>
      </c>
      <c r="G97" s="17">
        <v>26186.45</v>
      </c>
      <c r="H97" s="69">
        <f t="shared" si="3"/>
        <v>-6.297000910202577E-4</v>
      </c>
    </row>
    <row r="98" spans="2:8" x14ac:dyDescent="0.3">
      <c r="B98" s="77">
        <v>46003</v>
      </c>
      <c r="C98" s="17">
        <v>2261.0500000000002</v>
      </c>
      <c r="D98" s="69">
        <f t="shared" si="2"/>
        <v>-3.3326207781102957E-2</v>
      </c>
      <c r="G98" s="17">
        <v>26046.95</v>
      </c>
      <c r="H98" s="69">
        <f t="shared" si="3"/>
        <v>-5.3271825696113995E-3</v>
      </c>
    </row>
    <row r="99" spans="2:8" x14ac:dyDescent="0.3">
      <c r="B99" s="77">
        <v>46010</v>
      </c>
      <c r="C99" s="17">
        <v>2281.8000000000002</v>
      </c>
      <c r="D99" s="69">
        <f t="shared" si="2"/>
        <v>9.1771522080448253E-3</v>
      </c>
      <c r="G99" s="17">
        <v>25966.400000000001</v>
      </c>
      <c r="H99" s="69">
        <f t="shared" si="3"/>
        <v>-3.0924925951022475E-3</v>
      </c>
    </row>
    <row r="100" spans="2:8" x14ac:dyDescent="0.3">
      <c r="B100" s="77">
        <v>46017</v>
      </c>
      <c r="C100" s="17">
        <v>2285.5500000000002</v>
      </c>
      <c r="D100" s="69">
        <f t="shared" si="2"/>
        <v>1.6434393899553701E-3</v>
      </c>
      <c r="G100" s="17">
        <v>26042.3</v>
      </c>
      <c r="H100" s="69">
        <f t="shared" si="3"/>
        <v>2.9230081952060782E-3</v>
      </c>
    </row>
    <row r="101" spans="2:8" x14ac:dyDescent="0.3">
      <c r="B101" s="77">
        <v>46024</v>
      </c>
      <c r="C101" s="17">
        <v>2347.8000000000002</v>
      </c>
      <c r="D101" s="69">
        <f t="shared" si="2"/>
        <v>2.7236332611406455E-2</v>
      </c>
      <c r="G101" s="17">
        <v>26328.55</v>
      </c>
      <c r="H101" s="69">
        <f t="shared" si="3"/>
        <v>1.0991732681061128E-2</v>
      </c>
    </row>
    <row r="102" spans="2:8" x14ac:dyDescent="0.3">
      <c r="B102" s="77">
        <v>46031</v>
      </c>
      <c r="C102" s="17">
        <v>2373.75</v>
      </c>
      <c r="D102" s="69">
        <f t="shared" si="2"/>
        <v>1.1052900587784187E-2</v>
      </c>
      <c r="G102" s="17">
        <v>25683.3</v>
      </c>
      <c r="H102" s="69">
        <f t="shared" si="3"/>
        <v>-2.4507616256877029E-2</v>
      </c>
    </row>
    <row r="103" spans="2:8" x14ac:dyDescent="0.3">
      <c r="B103" s="77">
        <v>46038</v>
      </c>
      <c r="C103" s="17">
        <v>2359.65</v>
      </c>
      <c r="D103" s="69">
        <f t="shared" si="2"/>
        <v>-5.9399684044233458E-3</v>
      </c>
      <c r="G103" s="17">
        <v>25694.35</v>
      </c>
      <c r="H103" s="69">
        <f t="shared" si="3"/>
        <v>4.3024066222008273E-4</v>
      </c>
    </row>
    <row r="104" spans="2:8" x14ac:dyDescent="0.3">
      <c r="B104" s="77">
        <v>46045</v>
      </c>
      <c r="C104" s="17">
        <v>2412.0500000000002</v>
      </c>
      <c r="D104" s="69">
        <f t="shared" si="2"/>
        <v>2.2206683194541554E-2</v>
      </c>
      <c r="G104" s="17">
        <v>25048.65</v>
      </c>
      <c r="H104" s="69">
        <f t="shared" si="3"/>
        <v>-2.5130038315816394E-2</v>
      </c>
    </row>
    <row r="105" spans="2:8" x14ac:dyDescent="0.3">
      <c r="B105" s="77">
        <v>46052</v>
      </c>
      <c r="C105" s="17">
        <v>2373.65</v>
      </c>
      <c r="D105" s="69">
        <f t="shared" si="2"/>
        <v>-1.592006799195711E-2</v>
      </c>
      <c r="G105" s="17">
        <v>25320.65</v>
      </c>
      <c r="H105" s="69">
        <f t="shared" si="3"/>
        <v>1.0858868641623332E-2</v>
      </c>
    </row>
    <row r="106" spans="2:8" x14ac:dyDescent="0.3">
      <c r="B106" s="77">
        <v>46059</v>
      </c>
      <c r="C106" s="17">
        <v>2423.75</v>
      </c>
      <c r="D106" s="69">
        <f t="shared" si="2"/>
        <v>2.1106734354264578E-2</v>
      </c>
      <c r="G106" s="17">
        <v>25693.7</v>
      </c>
      <c r="H106" s="69">
        <f t="shared" si="3"/>
        <v>1.4733034104574605E-2</v>
      </c>
    </row>
    <row r="107" spans="2:8" x14ac:dyDescent="0.3">
      <c r="B107" s="77">
        <v>46066</v>
      </c>
      <c r="C107" s="17">
        <v>2305.1999999999998</v>
      </c>
      <c r="D107" s="69">
        <f t="shared" si="2"/>
        <v>-4.8911810211449303E-2</v>
      </c>
      <c r="G107" s="17">
        <v>25471.1</v>
      </c>
      <c r="H107" s="69">
        <f t="shared" si="3"/>
        <v>-8.6636023616685209E-3</v>
      </c>
    </row>
    <row r="108" spans="2:8" x14ac:dyDescent="0.3">
      <c r="B108" s="77">
        <v>46073</v>
      </c>
      <c r="C108" s="17">
        <v>2315</v>
      </c>
      <c r="D108" s="69">
        <f t="shared" si="2"/>
        <v>4.2512580253342147E-3</v>
      </c>
      <c r="G108" s="17">
        <v>25571.25</v>
      </c>
      <c r="H108" s="69">
        <f t="shared" si="3"/>
        <v>3.9319071418195684E-3</v>
      </c>
    </row>
    <row r="109" spans="2:8" x14ac:dyDescent="0.3">
      <c r="B109" s="77">
        <v>46080</v>
      </c>
      <c r="C109" s="17">
        <v>2338.25</v>
      </c>
      <c r="D109" s="69">
        <f t="shared" si="2"/>
        <v>1.0043196544276434E-2</v>
      </c>
      <c r="G109" s="17">
        <v>25178.65</v>
      </c>
      <c r="H109" s="69">
        <f t="shared" si="3"/>
        <v>-1.5353179840641329E-2</v>
      </c>
    </row>
    <row r="110" spans="2:8" x14ac:dyDescent="0.3">
      <c r="B110" s="77">
        <v>46087</v>
      </c>
      <c r="C110" s="17">
        <v>2226.1</v>
      </c>
      <c r="D110" s="69">
        <f t="shared" si="2"/>
        <v>-4.7963220357104763E-2</v>
      </c>
      <c r="G110" s="17">
        <v>24450.45</v>
      </c>
      <c r="H110" s="69">
        <f t="shared" si="3"/>
        <v>-2.892132818876314E-2</v>
      </c>
    </row>
    <row r="111" spans="2:8" x14ac:dyDescent="0.3">
      <c r="B111" s="77">
        <v>46094</v>
      </c>
      <c r="C111" s="17">
        <v>2160.5500000000002</v>
      </c>
      <c r="D111" s="69">
        <f t="shared" si="2"/>
        <v>-2.9446116526660848E-2</v>
      </c>
      <c r="G111" s="17">
        <v>23151.1</v>
      </c>
      <c r="H111" s="69">
        <f t="shared" si="3"/>
        <v>-5.3142171207482991E-2</v>
      </c>
    </row>
    <row r="112" spans="2:8" x14ac:dyDescent="0.3">
      <c r="B112" s="77">
        <v>46101</v>
      </c>
      <c r="C112" s="17">
        <v>2083.9</v>
      </c>
      <c r="D112" s="69">
        <f t="shared" si="2"/>
        <v>-3.5477077595982509E-2</v>
      </c>
      <c r="G112" s="17">
        <v>23114.5</v>
      </c>
      <c r="H112" s="69">
        <f t="shared" si="3"/>
        <v>-1.5809184012853805E-3</v>
      </c>
    </row>
    <row r="113" spans="2:8" x14ac:dyDescent="0.3">
      <c r="B113" s="77">
        <v>46108</v>
      </c>
      <c r="C113" s="17">
        <v>2075</v>
      </c>
      <c r="D113" s="69">
        <f t="shared" si="2"/>
        <v>-4.2708383319737253E-3</v>
      </c>
      <c r="G113" s="17">
        <v>22819.599999999999</v>
      </c>
      <c r="H113" s="69">
        <f t="shared" si="3"/>
        <v>-1.275822535637805E-2</v>
      </c>
    </row>
    <row r="114" spans="2:8" x14ac:dyDescent="0.3">
      <c r="B114" s="77">
        <v>46111</v>
      </c>
      <c r="C114" s="17">
        <v>2055.8000000000002</v>
      </c>
      <c r="D114" s="69">
        <f t="shared" si="2"/>
        <v>-9.2530120481927325E-3</v>
      </c>
      <c r="G114" s="17">
        <v>22331.4</v>
      </c>
      <c r="H114" s="69">
        <f t="shared" si="3"/>
        <v>-2.1393889463443561E-2</v>
      </c>
    </row>
  </sheetData>
  <mergeCells count="3">
    <mergeCell ref="B8:D8"/>
    <mergeCell ref="F8:H8"/>
    <mergeCell ref="B1:G3"/>
  </mergeCells>
  <pageMargins left="0.75" right="0" top="0.25" bottom="0" header="0" footer="0"/>
  <pageSetup scale="4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2808-A235-42FA-A026-47442710506F}">
  <dimension ref="B2:X113"/>
  <sheetViews>
    <sheetView showGridLines="0" zoomScale="78" workbookViewId="0">
      <pane ySplit="5" topLeftCell="A6" activePane="bottomLeft" state="frozen"/>
      <selection pane="bottomLeft" activeCell="C127" sqref="C127"/>
    </sheetView>
  </sheetViews>
  <sheetFormatPr defaultRowHeight="14.4" x14ac:dyDescent="0.3"/>
  <cols>
    <col min="1" max="1" width="1.88671875" customWidth="1"/>
    <col min="2" max="2" width="14.33203125" bestFit="1" customWidth="1"/>
    <col min="3" max="3" width="9" bestFit="1" customWidth="1"/>
    <col min="4" max="4" width="13.44140625" bestFit="1" customWidth="1"/>
    <col min="7" max="7" width="8" bestFit="1" customWidth="1"/>
    <col min="8" max="8" width="13.6640625" bestFit="1" customWidth="1"/>
    <col min="12" max="12" width="13.44140625" bestFit="1" customWidth="1"/>
    <col min="16" max="16" width="13.44140625" bestFit="1" customWidth="1"/>
    <col min="20" max="20" width="13.44140625" bestFit="1" customWidth="1"/>
    <col min="24" max="24" width="13.6640625" bestFit="1" customWidth="1"/>
  </cols>
  <sheetData>
    <row r="2" spans="2:24" x14ac:dyDescent="0.3">
      <c r="B2" s="72" t="s">
        <v>187</v>
      </c>
      <c r="C2" s="73"/>
      <c r="D2" s="73"/>
      <c r="E2" s="73"/>
    </row>
    <row r="4" spans="2:24" x14ac:dyDescent="0.3">
      <c r="B4" s="186" t="s">
        <v>191</v>
      </c>
      <c r="C4" s="186"/>
      <c r="D4" s="186"/>
      <c r="F4" s="186" t="str">
        <f>WACC!B13</f>
        <v>ITC</v>
      </c>
      <c r="G4" s="186"/>
      <c r="H4" s="186"/>
      <c r="J4" s="186" t="str">
        <f>WACC!B14</f>
        <v>Hindustan Foods</v>
      </c>
      <c r="K4" s="186"/>
      <c r="L4" s="186"/>
      <c r="N4" s="186" t="str">
        <f>WACC!B15</f>
        <v>Nestle India</v>
      </c>
      <c r="O4" s="186"/>
      <c r="P4" s="186"/>
      <c r="R4" s="186" t="str">
        <f>WACC!B16</f>
        <v>Godrej Consumer</v>
      </c>
      <c r="S4" s="186"/>
      <c r="T4" s="186"/>
      <c r="V4" s="187" t="str">
        <f>WACC!B17</f>
        <v>Britannia Inds.</v>
      </c>
      <c r="W4" s="186"/>
      <c r="X4" s="186"/>
    </row>
    <row r="5" spans="2:24" x14ac:dyDescent="0.3">
      <c r="B5" s="76" t="s">
        <v>189</v>
      </c>
      <c r="C5" s="78" t="s">
        <v>188</v>
      </c>
      <c r="D5" s="78" t="s">
        <v>190</v>
      </c>
      <c r="G5" s="78" t="s">
        <v>188</v>
      </c>
      <c r="H5" s="78" t="s">
        <v>190</v>
      </c>
      <c r="K5" s="78" t="s">
        <v>188</v>
      </c>
      <c r="L5" s="78" t="s">
        <v>190</v>
      </c>
      <c r="O5" s="78" t="s">
        <v>188</v>
      </c>
      <c r="P5" s="78" t="s">
        <v>190</v>
      </c>
      <c r="S5" s="78" t="s">
        <v>188</v>
      </c>
      <c r="T5" s="78" t="s">
        <v>190</v>
      </c>
      <c r="W5" s="78" t="s">
        <v>188</v>
      </c>
      <c r="X5" s="78" t="s">
        <v>190</v>
      </c>
    </row>
    <row r="6" spans="2:24" x14ac:dyDescent="0.3">
      <c r="B6" s="77">
        <v>45387</v>
      </c>
      <c r="C6" s="17">
        <v>22513.7</v>
      </c>
      <c r="G6">
        <v>403.88</v>
      </c>
      <c r="K6">
        <v>522.6</v>
      </c>
      <c r="O6">
        <v>1269.05</v>
      </c>
      <c r="S6">
        <v>1209.3499999999999</v>
      </c>
      <c r="W6">
        <v>4811.55</v>
      </c>
    </row>
    <row r="7" spans="2:24" x14ac:dyDescent="0.3">
      <c r="B7" s="77">
        <v>45394</v>
      </c>
      <c r="C7" s="17">
        <v>22519.4</v>
      </c>
      <c r="D7" s="69">
        <f>C7/C6-1</f>
        <v>2.5317917534661838E-4</v>
      </c>
      <c r="G7">
        <v>406.01</v>
      </c>
      <c r="H7" s="69">
        <f t="shared" ref="H7:H70" si="0">G7/G6-1</f>
        <v>5.2738437159551843E-3</v>
      </c>
      <c r="K7">
        <v>520.04999999999995</v>
      </c>
      <c r="L7" s="69">
        <f>K7/K6-1</f>
        <v>-4.8794489092998106E-3</v>
      </c>
      <c r="O7">
        <v>1268.08</v>
      </c>
      <c r="P7" s="69">
        <f>O7/O6-1</f>
        <v>-7.6435128639540384E-4</v>
      </c>
      <c r="S7">
        <v>1199.5</v>
      </c>
      <c r="T7" s="69">
        <f t="shared" ref="T7:T70" si="1">S7/S6-1</f>
        <v>-8.144871211807958E-3</v>
      </c>
      <c r="W7">
        <v>4749.6499999999996</v>
      </c>
      <c r="X7" s="69">
        <f t="shared" ref="X7:X70" si="2">W7/W6-1</f>
        <v>-1.2864877222516724E-2</v>
      </c>
    </row>
    <row r="8" spans="2:24" x14ac:dyDescent="0.3">
      <c r="B8" s="77">
        <v>45401</v>
      </c>
      <c r="C8" s="17">
        <v>22147</v>
      </c>
      <c r="D8" s="69">
        <f t="shared" ref="D8:D71" si="3">C8/C7-1</f>
        <v>-1.6536852669254087E-2</v>
      </c>
      <c r="G8">
        <v>401</v>
      </c>
      <c r="H8" s="69">
        <f t="shared" si="0"/>
        <v>-1.2339597546858427E-2</v>
      </c>
      <c r="K8">
        <v>496.7</v>
      </c>
      <c r="L8" s="69">
        <f t="shared" ref="L8:L71" si="4">K8/K7-1</f>
        <v>-4.4899528891452656E-2</v>
      </c>
      <c r="O8">
        <v>1218.55</v>
      </c>
      <c r="P8" s="69">
        <f t="shared" ref="P8:P71" si="5">O8/O7-1</f>
        <v>-3.9059049902214316E-2</v>
      </c>
      <c r="S8">
        <v>1169.05</v>
      </c>
      <c r="T8" s="69">
        <f t="shared" si="1"/>
        <v>-2.5385577323885022E-2</v>
      </c>
      <c r="W8">
        <v>4668.1000000000004</v>
      </c>
      <c r="X8" s="69">
        <f t="shared" si="2"/>
        <v>-1.716968618740311E-2</v>
      </c>
    </row>
    <row r="9" spans="2:24" x14ac:dyDescent="0.3">
      <c r="B9" s="77">
        <v>45408</v>
      </c>
      <c r="C9" s="17">
        <v>22419.95</v>
      </c>
      <c r="D9" s="69">
        <f t="shared" si="3"/>
        <v>1.2324468325281002E-2</v>
      </c>
      <c r="G9">
        <v>415.31</v>
      </c>
      <c r="H9" s="69">
        <f t="shared" si="0"/>
        <v>3.5685785536159642E-2</v>
      </c>
      <c r="K9">
        <v>502.2</v>
      </c>
      <c r="L9" s="69">
        <f t="shared" si="4"/>
        <v>1.1073082343466822E-2</v>
      </c>
      <c r="O9">
        <v>1241.9000000000001</v>
      </c>
      <c r="P9" s="69">
        <f t="shared" si="5"/>
        <v>1.9162118911821624E-2</v>
      </c>
      <c r="S9">
        <v>1202.1500000000001</v>
      </c>
      <c r="T9" s="69">
        <f t="shared" si="1"/>
        <v>2.8313587956032782E-2</v>
      </c>
      <c r="W9">
        <v>4797.55</v>
      </c>
      <c r="X9" s="69">
        <f t="shared" si="2"/>
        <v>2.7730768406846407E-2</v>
      </c>
    </row>
    <row r="10" spans="2:24" x14ac:dyDescent="0.3">
      <c r="B10" s="77">
        <v>45415</v>
      </c>
      <c r="C10" s="17">
        <v>22475.85</v>
      </c>
      <c r="D10" s="69">
        <f t="shared" si="3"/>
        <v>2.4933151055197555E-3</v>
      </c>
      <c r="G10">
        <v>411.81</v>
      </c>
      <c r="H10" s="69">
        <f t="shared" si="0"/>
        <v>-8.4274397438058868E-3</v>
      </c>
      <c r="K10">
        <v>507.25</v>
      </c>
      <c r="L10" s="69">
        <f t="shared" si="4"/>
        <v>1.0055754679410667E-2</v>
      </c>
      <c r="O10">
        <v>1227.8</v>
      </c>
      <c r="P10" s="69">
        <f t="shared" si="5"/>
        <v>-1.1353571140993779E-2</v>
      </c>
      <c r="S10">
        <v>1251.55</v>
      </c>
      <c r="T10" s="69">
        <f t="shared" si="1"/>
        <v>4.1093041633739391E-2</v>
      </c>
      <c r="W10">
        <v>4745.1499999999996</v>
      </c>
      <c r="X10" s="69">
        <f t="shared" si="2"/>
        <v>-1.0922241560796797E-2</v>
      </c>
    </row>
    <row r="11" spans="2:24" x14ac:dyDescent="0.3">
      <c r="B11" s="77">
        <v>45422</v>
      </c>
      <c r="C11" s="17">
        <v>22055.200000000001</v>
      </c>
      <c r="D11" s="69">
        <f t="shared" si="3"/>
        <v>-1.8715643679771743E-2</v>
      </c>
      <c r="G11">
        <v>408.93</v>
      </c>
      <c r="H11" s="69">
        <f t="shared" si="0"/>
        <v>-6.9935164274786965E-3</v>
      </c>
      <c r="K11">
        <v>495.5</v>
      </c>
      <c r="L11" s="69">
        <f t="shared" si="4"/>
        <v>-2.3164120256283893E-2</v>
      </c>
      <c r="O11">
        <v>1266.3800000000001</v>
      </c>
      <c r="P11" s="69">
        <f t="shared" si="5"/>
        <v>3.1422055709399155E-2</v>
      </c>
      <c r="S11">
        <v>1320.95</v>
      </c>
      <c r="T11" s="69">
        <f t="shared" si="1"/>
        <v>5.5451240461827478E-2</v>
      </c>
      <c r="W11">
        <v>5068.6000000000004</v>
      </c>
      <c r="X11" s="69">
        <f t="shared" si="2"/>
        <v>6.8164336216979704E-2</v>
      </c>
    </row>
    <row r="12" spans="2:24" x14ac:dyDescent="0.3">
      <c r="B12" s="77">
        <v>45429</v>
      </c>
      <c r="C12" s="17">
        <v>22466.1</v>
      </c>
      <c r="D12" s="69">
        <f t="shared" si="3"/>
        <v>1.8630527041241907E-2</v>
      </c>
      <c r="G12">
        <v>412.14</v>
      </c>
      <c r="H12" s="69">
        <f t="shared" si="0"/>
        <v>7.8497542366664508E-3</v>
      </c>
      <c r="K12">
        <v>497.2</v>
      </c>
      <c r="L12" s="69">
        <f t="shared" si="4"/>
        <v>3.4308779011100743E-3</v>
      </c>
      <c r="O12">
        <v>1222.5999999999999</v>
      </c>
      <c r="P12" s="69">
        <f t="shared" si="5"/>
        <v>-3.4570981853788152E-2</v>
      </c>
      <c r="S12">
        <v>1295.45</v>
      </c>
      <c r="T12" s="69">
        <f t="shared" si="1"/>
        <v>-1.9304288580188511E-2</v>
      </c>
      <c r="W12">
        <v>5087.05</v>
      </c>
      <c r="X12" s="69">
        <f t="shared" si="2"/>
        <v>3.6400583987687973E-3</v>
      </c>
    </row>
    <row r="13" spans="2:24" x14ac:dyDescent="0.3">
      <c r="B13" s="77">
        <v>45436</v>
      </c>
      <c r="C13" s="17">
        <v>22957.1</v>
      </c>
      <c r="D13" s="69">
        <f t="shared" si="3"/>
        <v>2.1855150649200406E-2</v>
      </c>
      <c r="G13">
        <v>411.67</v>
      </c>
      <c r="H13" s="69">
        <f t="shared" si="0"/>
        <v>-1.1403891881398565E-3</v>
      </c>
      <c r="K13">
        <v>493.4</v>
      </c>
      <c r="L13" s="69">
        <f t="shared" si="4"/>
        <v>-7.6427996781979202E-3</v>
      </c>
      <c r="O13">
        <v>1233.55</v>
      </c>
      <c r="P13" s="69">
        <f t="shared" si="5"/>
        <v>8.9563225911990507E-3</v>
      </c>
      <c r="S13">
        <v>1310.3499999999999</v>
      </c>
      <c r="T13" s="69">
        <f t="shared" si="1"/>
        <v>1.1501794743139282E-2</v>
      </c>
      <c r="W13">
        <v>5243.4</v>
      </c>
      <c r="X13" s="69">
        <f t="shared" si="2"/>
        <v>3.0734905298748671E-2</v>
      </c>
    </row>
    <row r="14" spans="2:24" x14ac:dyDescent="0.3">
      <c r="B14" s="77">
        <v>45443</v>
      </c>
      <c r="C14" s="17">
        <v>22530.7</v>
      </c>
      <c r="D14" s="69">
        <f t="shared" si="3"/>
        <v>-1.8573774562117951E-2</v>
      </c>
      <c r="G14">
        <v>402.28</v>
      </c>
      <c r="H14" s="69">
        <f t="shared" si="0"/>
        <v>-2.2809531906624381E-2</v>
      </c>
      <c r="K14">
        <v>487.45</v>
      </c>
      <c r="L14" s="69">
        <f t="shared" si="4"/>
        <v>-1.2059181191730772E-2</v>
      </c>
      <c r="O14">
        <v>1177.73</v>
      </c>
      <c r="P14" s="69">
        <f t="shared" si="5"/>
        <v>-4.5251509869887685E-2</v>
      </c>
      <c r="S14">
        <v>1269.6500000000001</v>
      </c>
      <c r="T14" s="69">
        <f t="shared" si="1"/>
        <v>-3.1060403708932594E-2</v>
      </c>
      <c r="W14">
        <v>5172.5</v>
      </c>
      <c r="X14" s="69">
        <f t="shared" si="2"/>
        <v>-1.3521760689628848E-2</v>
      </c>
    </row>
    <row r="15" spans="2:24" x14ac:dyDescent="0.3">
      <c r="B15" s="77">
        <v>45450</v>
      </c>
      <c r="C15" s="17">
        <v>23290.15</v>
      </c>
      <c r="D15" s="69">
        <f t="shared" si="3"/>
        <v>3.3707341538434354E-2</v>
      </c>
      <c r="G15">
        <v>414.5</v>
      </c>
      <c r="H15" s="69">
        <f t="shared" si="0"/>
        <v>3.0376851943919814E-2</v>
      </c>
      <c r="K15">
        <v>513.25</v>
      </c>
      <c r="L15" s="69">
        <f t="shared" si="4"/>
        <v>5.2928505487742417E-2</v>
      </c>
      <c r="O15">
        <v>1251.8</v>
      </c>
      <c r="P15" s="69">
        <f t="shared" si="5"/>
        <v>6.2892173927810324E-2</v>
      </c>
      <c r="S15">
        <v>1426.7</v>
      </c>
      <c r="T15" s="69">
        <f t="shared" si="1"/>
        <v>0.12369550663568685</v>
      </c>
      <c r="W15">
        <v>5463.25</v>
      </c>
      <c r="X15" s="69">
        <f t="shared" si="2"/>
        <v>5.6210729821169592E-2</v>
      </c>
    </row>
    <row r="16" spans="2:24" x14ac:dyDescent="0.3">
      <c r="B16" s="77">
        <v>45457</v>
      </c>
      <c r="C16" s="17">
        <v>23465.599999999999</v>
      </c>
      <c r="D16" s="69">
        <f t="shared" si="3"/>
        <v>7.5332275661599279E-3</v>
      </c>
      <c r="G16">
        <v>406.95</v>
      </c>
      <c r="H16" s="69">
        <f t="shared" si="0"/>
        <v>-1.8214716525934871E-2</v>
      </c>
      <c r="K16">
        <v>504.45</v>
      </c>
      <c r="L16" s="69">
        <f t="shared" si="4"/>
        <v>-1.7145640526059491E-2</v>
      </c>
      <c r="O16">
        <v>1271.5999999999999</v>
      </c>
      <c r="P16" s="69">
        <f t="shared" si="5"/>
        <v>1.5817223198594021E-2</v>
      </c>
      <c r="S16">
        <v>1393</v>
      </c>
      <c r="T16" s="69">
        <f t="shared" si="1"/>
        <v>-2.3620943435901043E-2</v>
      </c>
      <c r="W16">
        <v>5393</v>
      </c>
      <c r="X16" s="69">
        <f t="shared" si="2"/>
        <v>-1.2858646410103924E-2</v>
      </c>
    </row>
    <row r="17" spans="2:24" x14ac:dyDescent="0.3">
      <c r="B17" s="77">
        <v>45464</v>
      </c>
      <c r="C17" s="17">
        <v>23501.1</v>
      </c>
      <c r="D17" s="69">
        <f t="shared" si="3"/>
        <v>1.5128528569481325E-3</v>
      </c>
      <c r="G17">
        <v>396.1</v>
      </c>
      <c r="H17" s="69">
        <f t="shared" si="0"/>
        <v>-2.6661752057992261E-2</v>
      </c>
      <c r="K17">
        <v>500.4</v>
      </c>
      <c r="L17" s="69">
        <f t="shared" si="4"/>
        <v>-8.0285459411240101E-3</v>
      </c>
      <c r="O17">
        <v>1248.58</v>
      </c>
      <c r="P17" s="69">
        <f t="shared" si="5"/>
        <v>-1.8103177099716872E-2</v>
      </c>
      <c r="S17">
        <v>1356.35</v>
      </c>
      <c r="T17" s="69">
        <f t="shared" si="1"/>
        <v>-2.6310122038765371E-2</v>
      </c>
      <c r="W17">
        <v>5331.3</v>
      </c>
      <c r="X17" s="69">
        <f t="shared" si="2"/>
        <v>-1.1440756536250651E-2</v>
      </c>
    </row>
    <row r="18" spans="2:24" x14ac:dyDescent="0.3">
      <c r="B18" s="77">
        <v>45471</v>
      </c>
      <c r="C18" s="17">
        <v>24010.6</v>
      </c>
      <c r="D18" s="69">
        <f t="shared" si="3"/>
        <v>2.1679836262983532E-2</v>
      </c>
      <c r="G18">
        <v>401.1</v>
      </c>
      <c r="H18" s="69">
        <f t="shared" si="0"/>
        <v>1.2623074981065407E-2</v>
      </c>
      <c r="K18">
        <v>535.9</v>
      </c>
      <c r="L18" s="69">
        <f t="shared" si="4"/>
        <v>7.0943245403677135E-2</v>
      </c>
      <c r="O18">
        <v>1276.28</v>
      </c>
      <c r="P18" s="69">
        <f t="shared" si="5"/>
        <v>2.2185202389914949E-2</v>
      </c>
      <c r="S18">
        <v>1376.45</v>
      </c>
      <c r="T18" s="69">
        <f t="shared" si="1"/>
        <v>1.4819183838979733E-2</v>
      </c>
      <c r="W18">
        <v>5475.55</v>
      </c>
      <c r="X18" s="69">
        <f t="shared" si="2"/>
        <v>2.7057190553898769E-2</v>
      </c>
    </row>
    <row r="19" spans="2:24" x14ac:dyDescent="0.3">
      <c r="B19" s="77">
        <v>45478</v>
      </c>
      <c r="C19" s="17">
        <v>24323.85</v>
      </c>
      <c r="D19" s="69">
        <f t="shared" si="3"/>
        <v>1.3046321208133094E-2</v>
      </c>
      <c r="G19">
        <v>409.36</v>
      </c>
      <c r="H19" s="69">
        <f t="shared" si="0"/>
        <v>2.0593368237347365E-2</v>
      </c>
      <c r="K19">
        <v>553.4</v>
      </c>
      <c r="L19" s="69">
        <f t="shared" si="4"/>
        <v>3.2655346146669206E-2</v>
      </c>
      <c r="O19">
        <v>1286.93</v>
      </c>
      <c r="P19" s="69">
        <f t="shared" si="5"/>
        <v>8.3445638888020035E-3</v>
      </c>
      <c r="S19">
        <v>1374.2</v>
      </c>
      <c r="T19" s="69">
        <f t="shared" si="1"/>
        <v>-1.6346398343565216E-3</v>
      </c>
      <c r="W19">
        <v>5547.3</v>
      </c>
      <c r="X19" s="69">
        <f t="shared" si="2"/>
        <v>1.3103706476975008E-2</v>
      </c>
    </row>
    <row r="20" spans="2:24" x14ac:dyDescent="0.3">
      <c r="B20" s="77">
        <v>45485</v>
      </c>
      <c r="C20" s="17">
        <v>24502.15</v>
      </c>
      <c r="D20" s="69">
        <f t="shared" si="3"/>
        <v>7.3302540510651326E-3</v>
      </c>
      <c r="G20">
        <v>433.29</v>
      </c>
      <c r="H20" s="69">
        <f t="shared" si="0"/>
        <v>5.8457103771741181E-2</v>
      </c>
      <c r="K20">
        <v>559.4</v>
      </c>
      <c r="L20" s="69">
        <f t="shared" si="4"/>
        <v>1.0842067220816709E-2</v>
      </c>
      <c r="O20">
        <v>1304.68</v>
      </c>
      <c r="P20" s="69">
        <f t="shared" si="5"/>
        <v>1.3792513967348707E-2</v>
      </c>
      <c r="S20">
        <v>1444.15</v>
      </c>
      <c r="T20" s="69">
        <f t="shared" si="1"/>
        <v>5.0902343181487453E-2</v>
      </c>
      <c r="W20">
        <v>5793.45</v>
      </c>
      <c r="X20" s="69">
        <f t="shared" si="2"/>
        <v>4.4372938186144628E-2</v>
      </c>
    </row>
    <row r="21" spans="2:24" x14ac:dyDescent="0.3">
      <c r="B21" s="77">
        <v>45492</v>
      </c>
      <c r="C21" s="17">
        <v>24530.9</v>
      </c>
      <c r="D21" s="69">
        <f t="shared" si="3"/>
        <v>1.1733664188653403E-3</v>
      </c>
      <c r="G21">
        <v>447.73</v>
      </c>
      <c r="H21" s="69">
        <f t="shared" si="0"/>
        <v>3.3326409564033321E-2</v>
      </c>
      <c r="K21">
        <v>574.45000000000005</v>
      </c>
      <c r="L21" s="69">
        <f t="shared" si="4"/>
        <v>2.6903825527350822E-2</v>
      </c>
      <c r="O21">
        <v>1299.45</v>
      </c>
      <c r="P21" s="69">
        <f t="shared" si="5"/>
        <v>-4.0086457982033696E-3</v>
      </c>
      <c r="S21">
        <v>1452.45</v>
      </c>
      <c r="T21" s="69">
        <f t="shared" si="1"/>
        <v>5.7473254163349363E-3</v>
      </c>
      <c r="W21">
        <v>5880.95</v>
      </c>
      <c r="X21" s="69">
        <f t="shared" si="2"/>
        <v>1.5103263167887793E-2</v>
      </c>
    </row>
    <row r="22" spans="2:24" x14ac:dyDescent="0.3">
      <c r="B22" s="77">
        <v>45499</v>
      </c>
      <c r="C22" s="17">
        <v>24834.85</v>
      </c>
      <c r="D22" s="69">
        <f t="shared" si="3"/>
        <v>1.2390495252925682E-2</v>
      </c>
      <c r="G22">
        <v>474.45</v>
      </c>
      <c r="H22" s="69">
        <f t="shared" si="0"/>
        <v>5.9678824291425459E-2</v>
      </c>
      <c r="K22">
        <v>590.75</v>
      </c>
      <c r="L22" s="69">
        <f t="shared" si="4"/>
        <v>2.8374967360083492E-2</v>
      </c>
      <c r="O22">
        <v>1239.3499999999999</v>
      </c>
      <c r="P22" s="69">
        <f t="shared" si="5"/>
        <v>-4.6250336680903614E-2</v>
      </c>
      <c r="S22">
        <v>1467.3</v>
      </c>
      <c r="T22" s="69">
        <f t="shared" si="1"/>
        <v>1.0224104099968878E-2</v>
      </c>
      <c r="W22">
        <v>5872.4</v>
      </c>
      <c r="X22" s="69">
        <f t="shared" si="2"/>
        <v>-1.4538467424480839E-3</v>
      </c>
    </row>
    <row r="23" spans="2:24" x14ac:dyDescent="0.3">
      <c r="B23" s="77">
        <v>45506</v>
      </c>
      <c r="C23" s="17">
        <v>24717.7</v>
      </c>
      <c r="D23" s="69">
        <f t="shared" si="3"/>
        <v>-4.7171615693268887E-3</v>
      </c>
      <c r="G23">
        <v>461.89</v>
      </c>
      <c r="H23" s="69">
        <f t="shared" si="0"/>
        <v>-2.6472757930235069E-2</v>
      </c>
      <c r="K23">
        <v>584.04999999999995</v>
      </c>
      <c r="L23" s="69">
        <f t="shared" si="4"/>
        <v>-1.1341515023275628E-2</v>
      </c>
      <c r="O23">
        <v>1247.18</v>
      </c>
      <c r="P23" s="69">
        <f t="shared" si="5"/>
        <v>6.3178278936539822E-3</v>
      </c>
      <c r="S23">
        <v>1457.9</v>
      </c>
      <c r="T23" s="69">
        <f t="shared" si="1"/>
        <v>-6.4063245416751124E-3</v>
      </c>
      <c r="W23">
        <v>5723.15</v>
      </c>
      <c r="X23" s="69">
        <f t="shared" si="2"/>
        <v>-2.5415503031128717E-2</v>
      </c>
    </row>
    <row r="24" spans="2:24" x14ac:dyDescent="0.3">
      <c r="B24" s="77">
        <v>45513</v>
      </c>
      <c r="C24" s="17">
        <v>24367.5</v>
      </c>
      <c r="D24" s="69">
        <f t="shared" si="3"/>
        <v>-1.4167984885325113E-2</v>
      </c>
      <c r="G24">
        <v>467.98</v>
      </c>
      <c r="H24" s="69">
        <f t="shared" si="0"/>
        <v>1.3184957457403446E-2</v>
      </c>
      <c r="K24">
        <v>560.95000000000005</v>
      </c>
      <c r="L24" s="69">
        <f t="shared" si="4"/>
        <v>-3.9551408269839716E-2</v>
      </c>
      <c r="O24">
        <v>1251.6300000000001</v>
      </c>
      <c r="P24" s="69">
        <f t="shared" si="5"/>
        <v>3.5680495197165651E-3</v>
      </c>
      <c r="S24">
        <v>1444.85</v>
      </c>
      <c r="T24" s="69">
        <f t="shared" si="1"/>
        <v>-8.9512312229921287E-3</v>
      </c>
      <c r="W24">
        <v>5742.85</v>
      </c>
      <c r="X24" s="69">
        <f t="shared" si="2"/>
        <v>3.4421603487591046E-3</v>
      </c>
    </row>
    <row r="25" spans="2:24" x14ac:dyDescent="0.3">
      <c r="B25" s="77">
        <v>45520</v>
      </c>
      <c r="C25" s="17">
        <v>24541.15</v>
      </c>
      <c r="D25" s="69">
        <f t="shared" si="3"/>
        <v>7.1262952703396998E-3</v>
      </c>
      <c r="G25">
        <v>474.4</v>
      </c>
      <c r="H25" s="69">
        <f t="shared" si="0"/>
        <v>1.3718534980127206E-2</v>
      </c>
      <c r="K25">
        <v>573.75</v>
      </c>
      <c r="L25" s="69">
        <f t="shared" si="4"/>
        <v>2.2818433015420192E-2</v>
      </c>
      <c r="O25">
        <v>1262.93</v>
      </c>
      <c r="P25" s="69">
        <f t="shared" si="5"/>
        <v>9.0282271917418999E-3</v>
      </c>
      <c r="S25">
        <v>1403.8</v>
      </c>
      <c r="T25" s="69">
        <f t="shared" si="1"/>
        <v>-2.8411253763366395E-2</v>
      </c>
      <c r="W25">
        <v>5730.05</v>
      </c>
      <c r="X25" s="69">
        <f t="shared" si="2"/>
        <v>-2.2288584936051015E-3</v>
      </c>
    </row>
    <row r="26" spans="2:24" x14ac:dyDescent="0.3">
      <c r="B26" s="77">
        <v>45527</v>
      </c>
      <c r="C26" s="17">
        <v>24823.15</v>
      </c>
      <c r="D26" s="69">
        <f t="shared" si="3"/>
        <v>1.1490904052988471E-2</v>
      </c>
      <c r="G26">
        <v>477.37</v>
      </c>
      <c r="H26" s="69">
        <f t="shared" si="0"/>
        <v>6.2605396290051907E-3</v>
      </c>
      <c r="K26">
        <v>572.95000000000005</v>
      </c>
      <c r="L26" s="69">
        <f t="shared" si="4"/>
        <v>-1.3943355119825362E-3</v>
      </c>
      <c r="O26">
        <v>1264.8</v>
      </c>
      <c r="P26" s="69">
        <f t="shared" si="5"/>
        <v>1.4806838067034089E-3</v>
      </c>
      <c r="S26">
        <v>1428.2</v>
      </c>
      <c r="T26" s="69">
        <f t="shared" si="1"/>
        <v>1.7381393360877739E-2</v>
      </c>
      <c r="W26">
        <v>5793.5</v>
      </c>
      <c r="X26" s="69">
        <f t="shared" si="2"/>
        <v>1.1073201804521648E-2</v>
      </c>
    </row>
    <row r="27" spans="2:24" x14ac:dyDescent="0.3">
      <c r="B27" s="77">
        <v>45534</v>
      </c>
      <c r="C27" s="17">
        <v>25235.9</v>
      </c>
      <c r="D27" s="69">
        <f t="shared" si="3"/>
        <v>1.6627623810837822E-2</v>
      </c>
      <c r="G27">
        <v>473.74</v>
      </c>
      <c r="H27" s="69">
        <f t="shared" si="0"/>
        <v>-7.6041644845716849E-3</v>
      </c>
      <c r="K27">
        <v>578.85</v>
      </c>
      <c r="L27" s="69">
        <f t="shared" si="4"/>
        <v>1.0297582686098261E-2</v>
      </c>
      <c r="O27">
        <v>1252.0999999999999</v>
      </c>
      <c r="P27" s="69">
        <f t="shared" si="5"/>
        <v>-1.0041113219481423E-2</v>
      </c>
      <c r="S27">
        <v>1481.9</v>
      </c>
      <c r="T27" s="69">
        <f t="shared" si="1"/>
        <v>3.7599775941744795E-2</v>
      </c>
      <c r="W27">
        <v>5856.05</v>
      </c>
      <c r="X27" s="69">
        <f t="shared" si="2"/>
        <v>1.07965823768017E-2</v>
      </c>
    </row>
    <row r="28" spans="2:24" x14ac:dyDescent="0.3">
      <c r="B28" s="77">
        <v>45541</v>
      </c>
      <c r="C28" s="17">
        <v>24852.15</v>
      </c>
      <c r="D28" s="69">
        <f t="shared" si="3"/>
        <v>-1.5206511358818231E-2</v>
      </c>
      <c r="G28">
        <v>473.55</v>
      </c>
      <c r="H28" s="69">
        <f t="shared" si="0"/>
        <v>-4.0106387469918126E-4</v>
      </c>
      <c r="K28">
        <v>575.54999999999995</v>
      </c>
      <c r="L28" s="69">
        <f t="shared" si="4"/>
        <v>-5.700958797616118E-3</v>
      </c>
      <c r="O28">
        <v>1252.1300000000001</v>
      </c>
      <c r="P28" s="69">
        <f t="shared" si="5"/>
        <v>2.3959747624147099E-5</v>
      </c>
      <c r="S28">
        <v>1444.95</v>
      </c>
      <c r="T28" s="69">
        <f t="shared" si="1"/>
        <v>-2.4934206086780542E-2</v>
      </c>
      <c r="W28">
        <v>5846</v>
      </c>
      <c r="X28" s="69">
        <f t="shared" si="2"/>
        <v>-1.7161738714662755E-3</v>
      </c>
    </row>
    <row r="29" spans="2:24" x14ac:dyDescent="0.3">
      <c r="B29" s="77">
        <v>45548</v>
      </c>
      <c r="C29" s="17">
        <v>25356.5</v>
      </c>
      <c r="D29" s="69">
        <f t="shared" si="3"/>
        <v>2.0294018827344829E-2</v>
      </c>
      <c r="G29">
        <v>485.02</v>
      </c>
      <c r="H29" s="69">
        <f t="shared" si="0"/>
        <v>2.4221307148136306E-2</v>
      </c>
      <c r="K29">
        <v>568.75</v>
      </c>
      <c r="L29" s="69">
        <f t="shared" si="4"/>
        <v>-1.1814785857006238E-2</v>
      </c>
      <c r="O29">
        <v>1265.8499999999999</v>
      </c>
      <c r="P29" s="69">
        <f t="shared" si="5"/>
        <v>1.0957328711874714E-2</v>
      </c>
      <c r="S29">
        <v>1489.8</v>
      </c>
      <c r="T29" s="69">
        <f t="shared" si="1"/>
        <v>3.1039136302294157E-2</v>
      </c>
      <c r="W29">
        <v>6131.65</v>
      </c>
      <c r="X29" s="69">
        <f t="shared" si="2"/>
        <v>4.8862470065001551E-2</v>
      </c>
    </row>
    <row r="30" spans="2:24" x14ac:dyDescent="0.3">
      <c r="B30" s="77">
        <v>45555</v>
      </c>
      <c r="C30" s="17">
        <v>25790.95</v>
      </c>
      <c r="D30" s="69">
        <f t="shared" si="3"/>
        <v>1.7133673811448702E-2</v>
      </c>
      <c r="G30">
        <v>486.06</v>
      </c>
      <c r="H30" s="69">
        <f t="shared" si="0"/>
        <v>2.1442414745784788E-3</v>
      </c>
      <c r="K30">
        <v>651.25</v>
      </c>
      <c r="L30" s="69">
        <f t="shared" si="4"/>
        <v>0.14505494505494498</v>
      </c>
      <c r="O30">
        <v>1349.8</v>
      </c>
      <c r="P30" s="69">
        <f t="shared" si="5"/>
        <v>6.6319074139906009E-2</v>
      </c>
      <c r="S30">
        <v>1460.85</v>
      </c>
      <c r="T30" s="69">
        <f t="shared" si="1"/>
        <v>-1.9432138542086252E-2</v>
      </c>
      <c r="W30">
        <v>6214.05</v>
      </c>
      <c r="X30" s="69">
        <f t="shared" si="2"/>
        <v>1.3438470884672205E-2</v>
      </c>
    </row>
    <row r="31" spans="2:24" x14ac:dyDescent="0.3">
      <c r="B31" s="77">
        <v>45562</v>
      </c>
      <c r="C31" s="17">
        <v>26178.95</v>
      </c>
      <c r="D31" s="69">
        <f t="shared" si="3"/>
        <v>1.5044036764834123E-2</v>
      </c>
      <c r="G31">
        <v>493.47</v>
      </c>
      <c r="H31" s="69">
        <f t="shared" si="0"/>
        <v>1.5245031477595372E-2</v>
      </c>
      <c r="K31">
        <v>675.5</v>
      </c>
      <c r="L31" s="69">
        <f t="shared" si="4"/>
        <v>3.7236084452975104E-2</v>
      </c>
      <c r="O31">
        <v>1373.58</v>
      </c>
      <c r="P31" s="69">
        <f t="shared" si="5"/>
        <v>1.7617424803674675E-2</v>
      </c>
      <c r="S31">
        <v>1388.15</v>
      </c>
      <c r="T31" s="69">
        <f t="shared" si="1"/>
        <v>-4.9765547455248527E-2</v>
      </c>
      <c r="W31">
        <v>6272.75</v>
      </c>
      <c r="X31" s="69">
        <f t="shared" si="2"/>
        <v>9.446335320764998E-3</v>
      </c>
    </row>
    <row r="32" spans="2:24" x14ac:dyDescent="0.3">
      <c r="B32" s="77">
        <v>45569</v>
      </c>
      <c r="C32" s="17">
        <v>25014.6</v>
      </c>
      <c r="D32" s="69">
        <f t="shared" si="3"/>
        <v>-4.4476573735768743E-2</v>
      </c>
      <c r="G32">
        <v>475.25</v>
      </c>
      <c r="H32" s="69">
        <f t="shared" si="0"/>
        <v>-3.6922203984031454E-2</v>
      </c>
      <c r="K32">
        <v>635.15</v>
      </c>
      <c r="L32" s="69">
        <f t="shared" si="4"/>
        <v>-5.9733530717986705E-2</v>
      </c>
      <c r="O32">
        <v>1299.6500000000001</v>
      </c>
      <c r="P32" s="69">
        <f t="shared" si="5"/>
        <v>-5.3822857059654172E-2</v>
      </c>
      <c r="S32">
        <v>1343.4</v>
      </c>
      <c r="T32" s="69">
        <f t="shared" si="1"/>
        <v>-3.2237150163887174E-2</v>
      </c>
      <c r="W32">
        <v>6202.8</v>
      </c>
      <c r="X32" s="69">
        <f t="shared" si="2"/>
        <v>-1.1151408871706958E-2</v>
      </c>
    </row>
    <row r="33" spans="2:24" x14ac:dyDescent="0.3">
      <c r="B33" s="77">
        <v>45576</v>
      </c>
      <c r="C33" s="17">
        <v>24964.25</v>
      </c>
      <c r="D33" s="69">
        <f t="shared" si="3"/>
        <v>-2.0128245104857889E-3</v>
      </c>
      <c r="G33">
        <v>461.09</v>
      </c>
      <c r="H33" s="69">
        <f t="shared" si="0"/>
        <v>-2.9794844818516575E-2</v>
      </c>
      <c r="K33">
        <v>629.6</v>
      </c>
      <c r="L33" s="69">
        <f t="shared" si="4"/>
        <v>-8.7380933637722924E-3</v>
      </c>
      <c r="O33">
        <v>1256.2</v>
      </c>
      <c r="P33" s="69">
        <f t="shared" si="5"/>
        <v>-3.3432077867118104E-2</v>
      </c>
      <c r="S33">
        <v>1315.9</v>
      </c>
      <c r="T33" s="69">
        <f t="shared" si="1"/>
        <v>-2.047044811671872E-2</v>
      </c>
      <c r="W33">
        <v>5978</v>
      </c>
      <c r="X33" s="69">
        <f t="shared" si="2"/>
        <v>-3.6241697297994535E-2</v>
      </c>
    </row>
    <row r="34" spans="2:24" x14ac:dyDescent="0.3">
      <c r="B34" s="77">
        <v>45583</v>
      </c>
      <c r="C34" s="17">
        <v>24854.05</v>
      </c>
      <c r="D34" s="69">
        <f t="shared" si="3"/>
        <v>-4.4143124668275524E-3</v>
      </c>
      <c r="G34">
        <v>459.39</v>
      </c>
      <c r="H34" s="69">
        <f t="shared" si="0"/>
        <v>-3.6869157865058177E-3</v>
      </c>
      <c r="K34">
        <v>627.04999999999995</v>
      </c>
      <c r="L34" s="69">
        <f t="shared" si="4"/>
        <v>-4.0501905972046837E-3</v>
      </c>
      <c r="O34">
        <v>1174.78</v>
      </c>
      <c r="P34" s="69">
        <f t="shared" si="5"/>
        <v>-6.4814519980894825E-2</v>
      </c>
      <c r="S34">
        <v>1335.8</v>
      </c>
      <c r="T34" s="69">
        <f t="shared" si="1"/>
        <v>1.5122729690705938E-2</v>
      </c>
      <c r="W34">
        <v>5886.3</v>
      </c>
      <c r="X34" s="69">
        <f t="shared" si="2"/>
        <v>-1.5339578454332536E-2</v>
      </c>
    </row>
    <row r="35" spans="2:24" x14ac:dyDescent="0.3">
      <c r="B35" s="77">
        <v>45590</v>
      </c>
      <c r="C35" s="17">
        <v>24180.799999999999</v>
      </c>
      <c r="D35" s="69">
        <f t="shared" si="3"/>
        <v>-2.7088140564616281E-2</v>
      </c>
      <c r="G35">
        <v>455.09</v>
      </c>
      <c r="H35" s="69">
        <f t="shared" si="0"/>
        <v>-9.3602385772437735E-3</v>
      </c>
      <c r="K35">
        <v>569.15</v>
      </c>
      <c r="L35" s="69">
        <f t="shared" si="4"/>
        <v>-9.2337134199824589E-2</v>
      </c>
      <c r="O35">
        <v>1130.6300000000001</v>
      </c>
      <c r="P35" s="69">
        <f t="shared" si="5"/>
        <v>-3.7581504622141937E-2</v>
      </c>
      <c r="S35">
        <v>1291.2</v>
      </c>
      <c r="T35" s="69">
        <f t="shared" si="1"/>
        <v>-3.3388231771223187E-2</v>
      </c>
      <c r="W35">
        <v>5666.6</v>
      </c>
      <c r="X35" s="69">
        <f t="shared" si="2"/>
        <v>-3.7323955625775063E-2</v>
      </c>
    </row>
    <row r="36" spans="2:24" x14ac:dyDescent="0.3">
      <c r="B36" s="77">
        <v>45597</v>
      </c>
      <c r="C36" s="17">
        <v>24304.35</v>
      </c>
      <c r="D36" s="69">
        <f t="shared" si="3"/>
        <v>5.1094256600276999E-3</v>
      </c>
      <c r="G36">
        <v>463.07</v>
      </c>
      <c r="H36" s="69">
        <f t="shared" si="0"/>
        <v>1.7534993078292205E-2</v>
      </c>
      <c r="K36">
        <v>609.54999999999995</v>
      </c>
      <c r="L36" s="69">
        <f t="shared" si="4"/>
        <v>7.0983044891504754E-2</v>
      </c>
      <c r="O36">
        <v>1140.75</v>
      </c>
      <c r="P36" s="69">
        <f t="shared" si="5"/>
        <v>8.9507619645683434E-3</v>
      </c>
      <c r="S36">
        <v>1275.05</v>
      </c>
      <c r="T36" s="69">
        <f t="shared" si="1"/>
        <v>-1.2507744733581183E-2</v>
      </c>
      <c r="W36">
        <v>5695.1</v>
      </c>
      <c r="X36" s="69">
        <f t="shared" si="2"/>
        <v>5.0294709349520961E-3</v>
      </c>
    </row>
    <row r="37" spans="2:24" x14ac:dyDescent="0.3">
      <c r="B37" s="77">
        <v>45604</v>
      </c>
      <c r="C37" s="17">
        <v>24148.2</v>
      </c>
      <c r="D37" s="69">
        <f t="shared" si="3"/>
        <v>-6.4247758117372822E-3</v>
      </c>
      <c r="G37">
        <v>451.41</v>
      </c>
      <c r="H37" s="69">
        <f t="shared" si="0"/>
        <v>-2.5179778435225675E-2</v>
      </c>
      <c r="K37">
        <v>585.5</v>
      </c>
      <c r="L37" s="69">
        <f t="shared" si="4"/>
        <v>-3.9455335903535338E-2</v>
      </c>
      <c r="O37">
        <v>1148.1300000000001</v>
      </c>
      <c r="P37" s="69">
        <f t="shared" si="5"/>
        <v>6.4694280078896327E-3</v>
      </c>
      <c r="S37">
        <v>1250.6500000000001</v>
      </c>
      <c r="T37" s="69">
        <f t="shared" si="1"/>
        <v>-1.9136504450805725E-2</v>
      </c>
      <c r="W37">
        <v>5748.65</v>
      </c>
      <c r="X37" s="69">
        <f t="shared" si="2"/>
        <v>9.4028199680424862E-3</v>
      </c>
    </row>
    <row r="38" spans="2:24" x14ac:dyDescent="0.3">
      <c r="B38" s="77">
        <v>45610</v>
      </c>
      <c r="C38" s="17">
        <v>23532.7</v>
      </c>
      <c r="D38" s="69">
        <f t="shared" si="3"/>
        <v>-2.5488442202731498E-2</v>
      </c>
      <c r="G38">
        <v>439.75</v>
      </c>
      <c r="H38" s="69">
        <f t="shared" si="0"/>
        <v>-2.5830176557896434E-2</v>
      </c>
      <c r="K38">
        <v>542.25</v>
      </c>
      <c r="L38" s="69">
        <f t="shared" si="4"/>
        <v>-7.3868488471391935E-2</v>
      </c>
      <c r="O38">
        <v>1091.8</v>
      </c>
      <c r="P38" s="69">
        <f t="shared" si="5"/>
        <v>-4.9062388405494262E-2</v>
      </c>
      <c r="S38">
        <v>1175</v>
      </c>
      <c r="T38" s="69">
        <f t="shared" si="1"/>
        <v>-6.0488545956102868E-2</v>
      </c>
      <c r="W38">
        <v>4915.2</v>
      </c>
      <c r="X38" s="69">
        <f t="shared" si="2"/>
        <v>-0.14498186530750701</v>
      </c>
    </row>
    <row r="39" spans="2:24" x14ac:dyDescent="0.3">
      <c r="B39" s="77">
        <v>45618</v>
      </c>
      <c r="C39" s="17">
        <v>23907.25</v>
      </c>
      <c r="D39" s="69">
        <f t="shared" si="3"/>
        <v>1.5916150717937061E-2</v>
      </c>
      <c r="G39">
        <v>448.44</v>
      </c>
      <c r="H39" s="69">
        <f t="shared" si="0"/>
        <v>1.9761227970437778E-2</v>
      </c>
      <c r="K39">
        <v>547.1</v>
      </c>
      <c r="L39" s="69">
        <f t="shared" si="4"/>
        <v>8.9442139234670037E-3</v>
      </c>
      <c r="O39">
        <v>1124.08</v>
      </c>
      <c r="P39" s="69">
        <f t="shared" si="5"/>
        <v>2.95658545521158E-2</v>
      </c>
      <c r="S39">
        <v>1193.2</v>
      </c>
      <c r="T39" s="69">
        <f t="shared" si="1"/>
        <v>1.5489361702127669E-2</v>
      </c>
      <c r="W39">
        <v>4844.7</v>
      </c>
      <c r="X39" s="69">
        <f t="shared" si="2"/>
        <v>-1.434326171875E-2</v>
      </c>
    </row>
    <row r="40" spans="2:24" x14ac:dyDescent="0.3">
      <c r="B40" s="77">
        <v>45625</v>
      </c>
      <c r="C40" s="17">
        <v>24131.1</v>
      </c>
      <c r="D40" s="69">
        <f t="shared" si="3"/>
        <v>9.3632684645870157E-3</v>
      </c>
      <c r="G40">
        <v>450.33</v>
      </c>
      <c r="H40" s="69">
        <f t="shared" si="0"/>
        <v>4.2146106502540803E-3</v>
      </c>
      <c r="K40">
        <v>554.20000000000005</v>
      </c>
      <c r="L40" s="69">
        <f t="shared" si="4"/>
        <v>1.2977517821239237E-2</v>
      </c>
      <c r="O40">
        <v>1117.3499999999999</v>
      </c>
      <c r="P40" s="69">
        <f t="shared" si="5"/>
        <v>-5.9871183545655571E-3</v>
      </c>
      <c r="S40">
        <v>1243.7</v>
      </c>
      <c r="T40" s="69">
        <f t="shared" si="1"/>
        <v>4.2323164599396668E-2</v>
      </c>
      <c r="W40">
        <v>4941.8500000000004</v>
      </c>
      <c r="X40" s="69">
        <f t="shared" si="2"/>
        <v>2.0052841249200259E-2</v>
      </c>
    </row>
    <row r="41" spans="2:24" x14ac:dyDescent="0.3">
      <c r="B41" s="77">
        <v>45632</v>
      </c>
      <c r="C41" s="17">
        <v>24677.8</v>
      </c>
      <c r="D41" s="69">
        <f t="shared" si="3"/>
        <v>2.2655411481449228E-2</v>
      </c>
      <c r="G41">
        <v>444.85</v>
      </c>
      <c r="H41" s="69">
        <f t="shared" si="0"/>
        <v>-1.2168853951546543E-2</v>
      </c>
      <c r="K41">
        <v>577.75</v>
      </c>
      <c r="L41" s="69">
        <f t="shared" si="4"/>
        <v>4.2493684590400482E-2</v>
      </c>
      <c r="O41">
        <v>1133.08</v>
      </c>
      <c r="P41" s="69">
        <f t="shared" si="5"/>
        <v>1.4077952297847585E-2</v>
      </c>
      <c r="S41">
        <v>1235.5999999999999</v>
      </c>
      <c r="T41" s="69">
        <f t="shared" si="1"/>
        <v>-6.5128246361664255E-3</v>
      </c>
      <c r="W41">
        <v>4873</v>
      </c>
      <c r="X41" s="69">
        <f t="shared" si="2"/>
        <v>-1.3932029503121335E-2</v>
      </c>
    </row>
    <row r="42" spans="2:24" x14ac:dyDescent="0.3">
      <c r="B42" s="77">
        <v>45639</v>
      </c>
      <c r="C42" s="17">
        <v>24768.3</v>
      </c>
      <c r="D42" s="69">
        <f t="shared" si="3"/>
        <v>3.6672636944945491E-3</v>
      </c>
      <c r="G42">
        <v>443.81</v>
      </c>
      <c r="H42" s="69">
        <f t="shared" si="0"/>
        <v>-2.3378666966393791E-3</v>
      </c>
      <c r="K42">
        <v>553.1</v>
      </c>
      <c r="L42" s="69">
        <f t="shared" si="4"/>
        <v>-4.2665512765036717E-2</v>
      </c>
      <c r="O42">
        <v>1126.98</v>
      </c>
      <c r="P42" s="69">
        <f t="shared" si="5"/>
        <v>-5.3835563243547213E-3</v>
      </c>
      <c r="S42">
        <v>1111.25</v>
      </c>
      <c r="T42" s="69">
        <f t="shared" si="1"/>
        <v>-0.10063936549044994</v>
      </c>
      <c r="W42">
        <v>4850.95</v>
      </c>
      <c r="X42" s="69">
        <f t="shared" si="2"/>
        <v>-4.5249333059717012E-3</v>
      </c>
    </row>
    <row r="43" spans="2:24" x14ac:dyDescent="0.3">
      <c r="B43" s="77">
        <v>45646</v>
      </c>
      <c r="C43" s="17">
        <v>23587.5</v>
      </c>
      <c r="D43" s="69">
        <f t="shared" si="3"/>
        <v>-4.7673841159869612E-2</v>
      </c>
      <c r="G43">
        <v>438.57</v>
      </c>
      <c r="H43" s="69">
        <f t="shared" si="0"/>
        <v>-1.1806854284491131E-2</v>
      </c>
      <c r="K43">
        <v>543.04999999999995</v>
      </c>
      <c r="L43" s="69">
        <f t="shared" si="4"/>
        <v>-1.817031278249881E-2</v>
      </c>
      <c r="O43">
        <v>1081.93</v>
      </c>
      <c r="P43" s="69">
        <f t="shared" si="5"/>
        <v>-3.9974090045963528E-2</v>
      </c>
      <c r="S43">
        <v>1070.45</v>
      </c>
      <c r="T43" s="69">
        <f t="shared" si="1"/>
        <v>-3.671541057367822E-2</v>
      </c>
      <c r="W43">
        <v>4700.8999999999996</v>
      </c>
      <c r="X43" s="69">
        <f t="shared" si="2"/>
        <v>-3.0932085467795023E-2</v>
      </c>
    </row>
    <row r="44" spans="2:24" x14ac:dyDescent="0.3">
      <c r="B44" s="77">
        <v>45653</v>
      </c>
      <c r="C44" s="17">
        <v>23813.4</v>
      </c>
      <c r="D44" s="69">
        <f t="shared" si="3"/>
        <v>9.5771065182830295E-3</v>
      </c>
      <c r="G44">
        <v>452.07</v>
      </c>
      <c r="H44" s="69">
        <f t="shared" si="0"/>
        <v>3.0781859224297214E-2</v>
      </c>
      <c r="K44">
        <v>515.54999999999995</v>
      </c>
      <c r="L44" s="69">
        <f t="shared" si="4"/>
        <v>-5.0639904244544676E-2</v>
      </c>
      <c r="O44">
        <v>1082.7</v>
      </c>
      <c r="P44" s="69">
        <f t="shared" si="5"/>
        <v>7.1169114452884763E-4</v>
      </c>
      <c r="S44">
        <v>1068.5999999999999</v>
      </c>
      <c r="T44" s="69">
        <f t="shared" si="1"/>
        <v>-1.7282451305526969E-3</v>
      </c>
      <c r="W44">
        <v>4766.8500000000004</v>
      </c>
      <c r="X44" s="69">
        <f t="shared" si="2"/>
        <v>1.4029228445616937E-2</v>
      </c>
    </row>
    <row r="45" spans="2:24" x14ac:dyDescent="0.3">
      <c r="B45" s="77">
        <v>45660</v>
      </c>
      <c r="C45" s="17">
        <v>24004.75</v>
      </c>
      <c r="D45" s="69">
        <f t="shared" si="3"/>
        <v>8.035391838208783E-3</v>
      </c>
      <c r="G45">
        <v>455</v>
      </c>
      <c r="H45" s="69">
        <f t="shared" si="0"/>
        <v>6.4812971442476108E-3</v>
      </c>
      <c r="K45">
        <v>519.95000000000005</v>
      </c>
      <c r="L45" s="69">
        <f t="shared" si="4"/>
        <v>8.5345747260210381E-3</v>
      </c>
      <c r="O45">
        <v>1116.28</v>
      </c>
      <c r="P45" s="69">
        <f t="shared" si="5"/>
        <v>3.1015054955204402E-2</v>
      </c>
      <c r="S45">
        <v>1115.95</v>
      </c>
      <c r="T45" s="69">
        <f t="shared" si="1"/>
        <v>4.431031255848783E-2</v>
      </c>
      <c r="W45">
        <v>4835.3</v>
      </c>
      <c r="X45" s="69">
        <f t="shared" si="2"/>
        <v>1.4359587568310239E-2</v>
      </c>
    </row>
    <row r="46" spans="2:24" x14ac:dyDescent="0.3">
      <c r="B46" s="77">
        <v>45667</v>
      </c>
      <c r="C46" s="17">
        <v>23431.5</v>
      </c>
      <c r="D46" s="69">
        <f t="shared" si="3"/>
        <v>-2.3880690280048689E-2</v>
      </c>
      <c r="G46">
        <v>444.85</v>
      </c>
      <c r="H46" s="69">
        <f t="shared" si="0"/>
        <v>-2.2307692307692251E-2</v>
      </c>
      <c r="K46">
        <v>500.3</v>
      </c>
      <c r="L46" s="69">
        <f t="shared" si="4"/>
        <v>-3.7792095393787917E-2</v>
      </c>
      <c r="O46">
        <v>1122.95</v>
      </c>
      <c r="P46" s="69">
        <f t="shared" si="5"/>
        <v>5.9752033539972604E-3</v>
      </c>
      <c r="S46">
        <v>1174.3499999999999</v>
      </c>
      <c r="T46" s="69">
        <f t="shared" si="1"/>
        <v>5.2332093731797924E-2</v>
      </c>
      <c r="W46">
        <v>4936.8500000000004</v>
      </c>
      <c r="X46" s="69">
        <f t="shared" si="2"/>
        <v>2.1001799267884147E-2</v>
      </c>
    </row>
    <row r="47" spans="2:24" x14ac:dyDescent="0.3">
      <c r="B47" s="77">
        <v>45674</v>
      </c>
      <c r="C47" s="17">
        <v>23203.200000000001</v>
      </c>
      <c r="D47" s="69">
        <f t="shared" si="3"/>
        <v>-9.7432942833365344E-3</v>
      </c>
      <c r="G47">
        <v>440.15</v>
      </c>
      <c r="H47" s="69">
        <f t="shared" si="0"/>
        <v>-1.0565359109812378E-2</v>
      </c>
      <c r="K47">
        <v>493.2</v>
      </c>
      <c r="L47" s="69">
        <f t="shared" si="4"/>
        <v>-1.4191485108934643E-2</v>
      </c>
      <c r="O47">
        <v>1109.6500000000001</v>
      </c>
      <c r="P47" s="69">
        <f t="shared" si="5"/>
        <v>-1.1843804265550539E-2</v>
      </c>
      <c r="S47">
        <v>1188.8499999999999</v>
      </c>
      <c r="T47" s="69">
        <f t="shared" si="1"/>
        <v>1.2347255928811585E-2</v>
      </c>
      <c r="W47">
        <v>4855.6499999999996</v>
      </c>
      <c r="X47" s="69">
        <f t="shared" si="2"/>
        <v>-1.6447734891682053E-2</v>
      </c>
    </row>
    <row r="48" spans="2:24" x14ac:dyDescent="0.3">
      <c r="B48" s="77">
        <v>45681</v>
      </c>
      <c r="C48" s="17">
        <v>23092.2</v>
      </c>
      <c r="D48" s="69">
        <f t="shared" si="3"/>
        <v>-4.7838229209764549E-3</v>
      </c>
      <c r="G48">
        <v>441.5</v>
      </c>
      <c r="H48" s="69">
        <f t="shared" si="0"/>
        <v>3.0671362035670224E-3</v>
      </c>
      <c r="K48">
        <v>487.6</v>
      </c>
      <c r="L48" s="69">
        <f t="shared" si="4"/>
        <v>-1.135442011354415E-2</v>
      </c>
      <c r="O48">
        <v>1104.68</v>
      </c>
      <c r="P48" s="69">
        <f t="shared" si="5"/>
        <v>-4.4788897400080963E-3</v>
      </c>
      <c r="S48">
        <v>1129.9000000000001</v>
      </c>
      <c r="T48" s="69">
        <f t="shared" si="1"/>
        <v>-4.9585734112797986E-2</v>
      </c>
      <c r="W48">
        <v>5099.2</v>
      </c>
      <c r="X48" s="69">
        <f t="shared" si="2"/>
        <v>5.0158063287098598E-2</v>
      </c>
    </row>
    <row r="49" spans="2:24" x14ac:dyDescent="0.3">
      <c r="B49" s="77">
        <v>45688</v>
      </c>
      <c r="C49" s="17">
        <v>23508.400000000001</v>
      </c>
      <c r="D49" s="69">
        <f t="shared" si="3"/>
        <v>1.8023401841314346E-2</v>
      </c>
      <c r="G49">
        <v>447.55</v>
      </c>
      <c r="H49" s="69">
        <f t="shared" si="0"/>
        <v>1.3703284258210768E-2</v>
      </c>
      <c r="K49">
        <v>508.65</v>
      </c>
      <c r="L49" s="69">
        <f t="shared" si="4"/>
        <v>4.317063166529933E-2</v>
      </c>
      <c r="O49">
        <v>1156.53</v>
      </c>
      <c r="P49" s="69">
        <f t="shared" si="5"/>
        <v>4.6936669442734447E-2</v>
      </c>
      <c r="S49">
        <v>1121.3</v>
      </c>
      <c r="T49" s="69">
        <f t="shared" si="1"/>
        <v>-7.6112930347819185E-3</v>
      </c>
      <c r="W49">
        <v>5127.5</v>
      </c>
      <c r="X49" s="69">
        <f t="shared" si="2"/>
        <v>5.5498901788515465E-3</v>
      </c>
    </row>
    <row r="50" spans="2:24" x14ac:dyDescent="0.3">
      <c r="B50" s="77">
        <v>45695</v>
      </c>
      <c r="C50" s="17">
        <v>23559.95</v>
      </c>
      <c r="D50" s="69">
        <f t="shared" si="3"/>
        <v>2.1928332000475947E-3</v>
      </c>
      <c r="G50">
        <v>430.9</v>
      </c>
      <c r="H50" s="69">
        <f t="shared" si="0"/>
        <v>-3.7202547201430125E-2</v>
      </c>
      <c r="K50">
        <v>553.4</v>
      </c>
      <c r="L50" s="69">
        <f t="shared" si="4"/>
        <v>8.7977980929912603E-2</v>
      </c>
      <c r="O50">
        <v>1112.68</v>
      </c>
      <c r="P50" s="69">
        <f t="shared" si="5"/>
        <v>-3.7915142711386518E-2</v>
      </c>
      <c r="S50">
        <v>1107</v>
      </c>
      <c r="T50" s="69">
        <f t="shared" si="1"/>
        <v>-1.2753054490323712E-2</v>
      </c>
      <c r="W50">
        <v>4874.8500000000004</v>
      </c>
      <c r="X50" s="69">
        <f t="shared" si="2"/>
        <v>-4.927352510970251E-2</v>
      </c>
    </row>
    <row r="51" spans="2:24" x14ac:dyDescent="0.3">
      <c r="B51" s="77">
        <v>45702</v>
      </c>
      <c r="C51" s="17">
        <v>22929.25</v>
      </c>
      <c r="D51" s="69">
        <f t="shared" si="3"/>
        <v>-2.6770005878620329E-2</v>
      </c>
      <c r="G51">
        <v>410.55</v>
      </c>
      <c r="H51" s="69">
        <f t="shared" si="0"/>
        <v>-4.7226734741239174E-2</v>
      </c>
      <c r="K51">
        <v>525</v>
      </c>
      <c r="L51" s="69">
        <f t="shared" si="4"/>
        <v>-5.131911817853263E-2</v>
      </c>
      <c r="O51">
        <v>1097.05</v>
      </c>
      <c r="P51" s="69">
        <f t="shared" si="5"/>
        <v>-1.4047165402451878E-2</v>
      </c>
      <c r="S51">
        <v>1056.6500000000001</v>
      </c>
      <c r="T51" s="69">
        <f t="shared" si="1"/>
        <v>-4.5483288166214941E-2</v>
      </c>
      <c r="W51">
        <v>4933.45</v>
      </c>
      <c r="X51" s="69">
        <f t="shared" si="2"/>
        <v>1.2020882693826396E-2</v>
      </c>
    </row>
    <row r="52" spans="2:24" x14ac:dyDescent="0.3">
      <c r="B52" s="77">
        <v>45709</v>
      </c>
      <c r="C52" s="17">
        <v>22795.9</v>
      </c>
      <c r="D52" s="69">
        <f t="shared" si="3"/>
        <v>-5.8157157342695331E-3</v>
      </c>
      <c r="G52">
        <v>401</v>
      </c>
      <c r="H52" s="69">
        <f t="shared" si="0"/>
        <v>-2.3261478504445265E-2</v>
      </c>
      <c r="K52">
        <v>557.15</v>
      </c>
      <c r="L52" s="69">
        <f t="shared" si="4"/>
        <v>6.1238095238095092E-2</v>
      </c>
      <c r="O52">
        <v>1107.53</v>
      </c>
      <c r="P52" s="69">
        <f t="shared" si="5"/>
        <v>9.5528918463150259E-3</v>
      </c>
      <c r="S52">
        <v>1052.05</v>
      </c>
      <c r="T52" s="69">
        <f t="shared" si="1"/>
        <v>-4.3533809681541857E-3</v>
      </c>
      <c r="W52">
        <v>4831.3</v>
      </c>
      <c r="X52" s="69">
        <f t="shared" si="2"/>
        <v>-2.0705591421824376E-2</v>
      </c>
    </row>
    <row r="53" spans="2:24" x14ac:dyDescent="0.3">
      <c r="B53" s="77">
        <v>45716</v>
      </c>
      <c r="C53" s="17">
        <v>22124.7</v>
      </c>
      <c r="D53" s="69">
        <f t="shared" si="3"/>
        <v>-2.9443891226053842E-2</v>
      </c>
      <c r="G53">
        <v>394.7</v>
      </c>
      <c r="H53" s="69">
        <f t="shared" si="0"/>
        <v>-1.5710723192019937E-2</v>
      </c>
      <c r="K53">
        <v>510.1</v>
      </c>
      <c r="L53" s="69">
        <f t="shared" si="4"/>
        <v>-8.4447635286727052E-2</v>
      </c>
      <c r="O53">
        <v>1094.9000000000001</v>
      </c>
      <c r="P53" s="69">
        <f t="shared" si="5"/>
        <v>-1.1403754300109092E-2</v>
      </c>
      <c r="S53">
        <v>1008.6</v>
      </c>
      <c r="T53" s="69">
        <f t="shared" si="1"/>
        <v>-4.1300318425930294E-2</v>
      </c>
      <c r="W53">
        <v>4603.05</v>
      </c>
      <c r="X53" s="69">
        <f t="shared" si="2"/>
        <v>-4.7244012998571838E-2</v>
      </c>
    </row>
    <row r="54" spans="2:24" x14ac:dyDescent="0.3">
      <c r="B54" s="77">
        <v>45723</v>
      </c>
      <c r="C54" s="17">
        <v>22552.5</v>
      </c>
      <c r="D54" s="69">
        <f t="shared" si="3"/>
        <v>1.9335855401429125E-2</v>
      </c>
      <c r="G54">
        <v>403.8</v>
      </c>
      <c r="H54" s="69">
        <f t="shared" si="0"/>
        <v>2.3055485178616664E-2</v>
      </c>
      <c r="K54">
        <v>529.65</v>
      </c>
      <c r="L54" s="69">
        <f t="shared" si="4"/>
        <v>3.8325818466967254E-2</v>
      </c>
      <c r="O54">
        <v>1118.6500000000001</v>
      </c>
      <c r="P54" s="69">
        <f t="shared" si="5"/>
        <v>2.1691478673851572E-2</v>
      </c>
      <c r="S54">
        <v>1043.9000000000001</v>
      </c>
      <c r="T54" s="69">
        <f t="shared" si="1"/>
        <v>3.4999008526670705E-2</v>
      </c>
      <c r="W54">
        <v>4742.75</v>
      </c>
      <c r="X54" s="69">
        <f t="shared" si="2"/>
        <v>3.0349442217660005E-2</v>
      </c>
    </row>
    <row r="55" spans="2:24" x14ac:dyDescent="0.3">
      <c r="B55" s="77">
        <v>45729</v>
      </c>
      <c r="C55" s="17">
        <v>22397.200000000001</v>
      </c>
      <c r="D55" s="69">
        <f t="shared" si="3"/>
        <v>-6.8861545283227521E-3</v>
      </c>
      <c r="G55">
        <v>411.85</v>
      </c>
      <c r="H55" s="69">
        <f t="shared" si="0"/>
        <v>1.9935611688954857E-2</v>
      </c>
      <c r="K55">
        <v>533.45000000000005</v>
      </c>
      <c r="L55" s="69">
        <f t="shared" si="4"/>
        <v>7.1745492306241054E-3</v>
      </c>
      <c r="O55">
        <v>1095.93</v>
      </c>
      <c r="P55" s="69">
        <f t="shared" si="5"/>
        <v>-2.031019532472178E-2</v>
      </c>
      <c r="S55">
        <v>1023.85</v>
      </c>
      <c r="T55" s="69">
        <f t="shared" si="1"/>
        <v>-1.9206820576683659E-2</v>
      </c>
      <c r="W55">
        <v>4728.05</v>
      </c>
      <c r="X55" s="69">
        <f t="shared" si="2"/>
        <v>-3.09946760845492E-3</v>
      </c>
    </row>
    <row r="56" spans="2:24" x14ac:dyDescent="0.3">
      <c r="B56" s="77">
        <v>45737</v>
      </c>
      <c r="C56" s="17">
        <v>23350.400000000001</v>
      </c>
      <c r="D56" s="69">
        <f t="shared" si="3"/>
        <v>4.2558891289982803E-2</v>
      </c>
      <c r="G56">
        <v>405.8</v>
      </c>
      <c r="H56" s="69">
        <f t="shared" si="0"/>
        <v>-1.4689814252761946E-2</v>
      </c>
      <c r="K56">
        <v>555.35</v>
      </c>
      <c r="L56" s="69">
        <f t="shared" si="4"/>
        <v>4.1053519542600059E-2</v>
      </c>
      <c r="O56">
        <v>1132.73</v>
      </c>
      <c r="P56" s="69">
        <f t="shared" si="5"/>
        <v>3.3578786966320884E-2</v>
      </c>
      <c r="S56">
        <v>1111.8499999999999</v>
      </c>
      <c r="T56" s="69">
        <f t="shared" si="1"/>
        <v>8.595009034526524E-2</v>
      </c>
      <c r="W56">
        <v>4817</v>
      </c>
      <c r="X56" s="69">
        <f t="shared" si="2"/>
        <v>1.8813252820930382E-2</v>
      </c>
    </row>
    <row r="57" spans="2:24" x14ac:dyDescent="0.3">
      <c r="B57" s="77">
        <v>45744</v>
      </c>
      <c r="C57" s="17">
        <v>23519.35</v>
      </c>
      <c r="D57" s="69">
        <f t="shared" si="3"/>
        <v>7.2354220912702605E-3</v>
      </c>
      <c r="G57">
        <v>409.8</v>
      </c>
      <c r="H57" s="69">
        <f t="shared" si="0"/>
        <v>9.857072449482418E-3</v>
      </c>
      <c r="K57">
        <v>566.79999999999995</v>
      </c>
      <c r="L57" s="69">
        <f t="shared" si="4"/>
        <v>2.0617628522553222E-2</v>
      </c>
      <c r="O57">
        <v>1125.53</v>
      </c>
      <c r="P57" s="69">
        <f t="shared" si="5"/>
        <v>-6.3563249847713443E-3</v>
      </c>
      <c r="S57">
        <v>1158.7</v>
      </c>
      <c r="T57" s="69">
        <f t="shared" si="1"/>
        <v>4.2136978909025569E-2</v>
      </c>
      <c r="W57">
        <v>4936.8999999999996</v>
      </c>
      <c r="X57" s="69">
        <f t="shared" si="2"/>
        <v>2.4891011002698749E-2</v>
      </c>
    </row>
    <row r="58" spans="2:24" x14ac:dyDescent="0.3">
      <c r="B58" s="77">
        <v>45751</v>
      </c>
      <c r="C58" s="17">
        <v>22904.45</v>
      </c>
      <c r="D58" s="69">
        <f t="shared" si="3"/>
        <v>-2.6144430011883713E-2</v>
      </c>
      <c r="G58">
        <v>409.55</v>
      </c>
      <c r="H58" s="69">
        <f t="shared" si="0"/>
        <v>-6.1005368472422106E-4</v>
      </c>
      <c r="K58">
        <v>527.79999999999995</v>
      </c>
      <c r="L58" s="69">
        <f t="shared" si="4"/>
        <v>-6.8807339449541316E-2</v>
      </c>
      <c r="O58">
        <v>1130.73</v>
      </c>
      <c r="P58" s="69">
        <f t="shared" si="5"/>
        <v>4.6200456673746171E-3</v>
      </c>
      <c r="S58">
        <v>1157.1500000000001</v>
      </c>
      <c r="T58" s="69">
        <f t="shared" si="1"/>
        <v>-1.3377060498834803E-3</v>
      </c>
      <c r="W58">
        <v>5024.8500000000004</v>
      </c>
      <c r="X58" s="69">
        <f t="shared" si="2"/>
        <v>1.7814823067107133E-2</v>
      </c>
    </row>
    <row r="59" spans="2:24" x14ac:dyDescent="0.3">
      <c r="B59" s="77">
        <v>45758</v>
      </c>
      <c r="C59" s="17">
        <v>22828.55</v>
      </c>
      <c r="D59" s="69">
        <f t="shared" si="3"/>
        <v>-3.3137665388167648E-3</v>
      </c>
      <c r="G59">
        <v>421.8</v>
      </c>
      <c r="H59" s="69">
        <f t="shared" si="0"/>
        <v>2.9910877792699297E-2</v>
      </c>
      <c r="K59">
        <v>570.45000000000005</v>
      </c>
      <c r="L59" s="69">
        <f t="shared" si="4"/>
        <v>8.080712391057232E-2</v>
      </c>
      <c r="O59">
        <v>1180.43</v>
      </c>
      <c r="P59" s="69">
        <f t="shared" si="5"/>
        <v>4.3953905883809652E-2</v>
      </c>
      <c r="S59">
        <v>1224.5</v>
      </c>
      <c r="T59" s="69">
        <f t="shared" si="1"/>
        <v>5.8203344423799708E-2</v>
      </c>
      <c r="W59">
        <v>5349.45</v>
      </c>
      <c r="X59" s="69">
        <f t="shared" si="2"/>
        <v>6.45989432520373E-2</v>
      </c>
    </row>
    <row r="60" spans="2:24" x14ac:dyDescent="0.3">
      <c r="B60" s="77">
        <v>45764</v>
      </c>
      <c r="C60" s="17">
        <v>23851.65</v>
      </c>
      <c r="D60" s="69">
        <f t="shared" si="3"/>
        <v>4.4816687875489425E-2</v>
      </c>
      <c r="G60">
        <v>427.25</v>
      </c>
      <c r="H60" s="69">
        <f t="shared" si="0"/>
        <v>1.2920815552394549E-2</v>
      </c>
      <c r="K60">
        <v>587.25</v>
      </c>
      <c r="L60" s="69">
        <f t="shared" si="4"/>
        <v>2.9450433867998838E-2</v>
      </c>
      <c r="O60">
        <v>1207.8</v>
      </c>
      <c r="P60" s="69">
        <f t="shared" si="5"/>
        <v>2.3186465948848989E-2</v>
      </c>
      <c r="S60">
        <v>1240.5999999999999</v>
      </c>
      <c r="T60" s="69">
        <f t="shared" si="1"/>
        <v>1.3148223764801958E-2</v>
      </c>
      <c r="W60">
        <v>5453.05</v>
      </c>
      <c r="X60" s="69">
        <f t="shared" si="2"/>
        <v>1.9366476927534571E-2</v>
      </c>
    </row>
    <row r="61" spans="2:24" x14ac:dyDescent="0.3">
      <c r="B61" s="77">
        <v>45772</v>
      </c>
      <c r="C61" s="17">
        <v>24039.35</v>
      </c>
      <c r="D61" s="69">
        <f t="shared" si="3"/>
        <v>7.86947653516612E-3</v>
      </c>
      <c r="G61">
        <v>428.15</v>
      </c>
      <c r="H61" s="69">
        <f t="shared" si="0"/>
        <v>2.106495026331201E-3</v>
      </c>
      <c r="K61">
        <v>545.35</v>
      </c>
      <c r="L61" s="69">
        <f t="shared" si="4"/>
        <v>-7.1349510429970175E-2</v>
      </c>
      <c r="O61">
        <v>1207.0999999999999</v>
      </c>
      <c r="P61" s="69">
        <f t="shared" si="5"/>
        <v>-5.7956615333665251E-4</v>
      </c>
      <c r="S61">
        <v>1265.5</v>
      </c>
      <c r="T61" s="69">
        <f t="shared" si="1"/>
        <v>2.0070933419313208E-2</v>
      </c>
      <c r="W61">
        <v>5419.75</v>
      </c>
      <c r="X61" s="69">
        <f t="shared" si="2"/>
        <v>-6.1066742465226698E-3</v>
      </c>
    </row>
    <row r="62" spans="2:24" x14ac:dyDescent="0.3">
      <c r="B62" s="77">
        <v>45779</v>
      </c>
      <c r="C62" s="17">
        <v>24346.7</v>
      </c>
      <c r="D62" s="69">
        <f t="shared" si="3"/>
        <v>1.2785287455775673E-2</v>
      </c>
      <c r="G62">
        <v>430.15</v>
      </c>
      <c r="H62" s="69">
        <f t="shared" si="0"/>
        <v>4.6712600724045927E-3</v>
      </c>
      <c r="K62">
        <v>521.35</v>
      </c>
      <c r="L62" s="69">
        <f t="shared" si="4"/>
        <v>-4.4008434950032038E-2</v>
      </c>
      <c r="O62">
        <v>1168.4000000000001</v>
      </c>
      <c r="P62" s="69">
        <f t="shared" si="5"/>
        <v>-3.2060309833485068E-2</v>
      </c>
      <c r="S62">
        <v>1256.1500000000001</v>
      </c>
      <c r="T62" s="69">
        <f t="shared" si="1"/>
        <v>-7.3883840379296295E-3</v>
      </c>
      <c r="W62">
        <v>5306.25</v>
      </c>
      <c r="X62" s="69">
        <f t="shared" si="2"/>
        <v>-2.0941925365561165E-2</v>
      </c>
    </row>
    <row r="63" spans="2:24" x14ac:dyDescent="0.3">
      <c r="B63" s="77">
        <v>45786</v>
      </c>
      <c r="C63" s="17">
        <v>24008</v>
      </c>
      <c r="D63" s="69">
        <f t="shared" si="3"/>
        <v>-1.391153626569519E-2</v>
      </c>
      <c r="G63">
        <v>423.5</v>
      </c>
      <c r="H63" s="69">
        <f t="shared" si="0"/>
        <v>-1.5459723352318933E-2</v>
      </c>
      <c r="K63">
        <v>514.04999999999995</v>
      </c>
      <c r="L63" s="69">
        <f t="shared" si="4"/>
        <v>-1.4002109906972371E-2</v>
      </c>
      <c r="O63">
        <v>1161.9000000000001</v>
      </c>
      <c r="P63" s="69">
        <f t="shared" si="5"/>
        <v>-5.5631633002396486E-3</v>
      </c>
      <c r="S63">
        <v>1241.2</v>
      </c>
      <c r="T63" s="69">
        <f t="shared" si="1"/>
        <v>-1.1901444891135649E-2</v>
      </c>
      <c r="W63">
        <v>5425</v>
      </c>
      <c r="X63" s="69">
        <f t="shared" si="2"/>
        <v>2.2379269729092988E-2</v>
      </c>
    </row>
    <row r="64" spans="2:24" x14ac:dyDescent="0.3">
      <c r="B64" s="77">
        <v>45793</v>
      </c>
      <c r="C64" s="17">
        <v>25019.8</v>
      </c>
      <c r="D64" s="69">
        <f t="shared" si="3"/>
        <v>4.2144285238253865E-2</v>
      </c>
      <c r="G64">
        <v>435.6</v>
      </c>
      <c r="H64" s="69">
        <f t="shared" si="0"/>
        <v>2.8571428571428692E-2</v>
      </c>
      <c r="K64">
        <v>527.45000000000005</v>
      </c>
      <c r="L64" s="69">
        <f t="shared" si="4"/>
        <v>2.6067503161171235E-2</v>
      </c>
      <c r="O64">
        <v>1205.28</v>
      </c>
      <c r="P64" s="69">
        <f t="shared" si="5"/>
        <v>3.733539891556914E-2</v>
      </c>
      <c r="S64">
        <v>1297.5</v>
      </c>
      <c r="T64" s="69">
        <f t="shared" si="1"/>
        <v>4.5359329680953797E-2</v>
      </c>
      <c r="W64">
        <v>5502.6</v>
      </c>
      <c r="X64" s="69">
        <f t="shared" si="2"/>
        <v>1.4304147465437955E-2</v>
      </c>
    </row>
    <row r="65" spans="2:24" x14ac:dyDescent="0.3">
      <c r="B65" s="77">
        <v>45800</v>
      </c>
      <c r="C65" s="17">
        <v>24853.15</v>
      </c>
      <c r="D65" s="69">
        <f t="shared" si="3"/>
        <v>-6.660724706032739E-3</v>
      </c>
      <c r="G65">
        <v>436.3</v>
      </c>
      <c r="H65" s="69">
        <f t="shared" si="0"/>
        <v>1.6069788797061779E-3</v>
      </c>
      <c r="K65">
        <v>554.6</v>
      </c>
      <c r="L65" s="69">
        <f t="shared" si="4"/>
        <v>5.1474073371883478E-2</v>
      </c>
      <c r="O65">
        <v>1206.75</v>
      </c>
      <c r="P65" s="69">
        <f t="shared" si="5"/>
        <v>1.2196336121068629E-3</v>
      </c>
      <c r="S65">
        <v>1277.3</v>
      </c>
      <c r="T65" s="69">
        <f t="shared" si="1"/>
        <v>-1.5568400770712976E-2</v>
      </c>
      <c r="W65">
        <v>5489.3</v>
      </c>
      <c r="X65" s="69">
        <f t="shared" si="2"/>
        <v>-2.4170392178243238E-3</v>
      </c>
    </row>
    <row r="66" spans="2:24" x14ac:dyDescent="0.3">
      <c r="B66" s="77">
        <v>45807</v>
      </c>
      <c r="C66" s="17">
        <v>24750.7</v>
      </c>
      <c r="D66" s="69">
        <f t="shared" si="3"/>
        <v>-4.1222138843567402E-3</v>
      </c>
      <c r="G66">
        <v>417.9</v>
      </c>
      <c r="H66" s="69">
        <f t="shared" si="0"/>
        <v>-4.2172816869126772E-2</v>
      </c>
      <c r="K66">
        <v>546.6</v>
      </c>
      <c r="L66" s="69">
        <f t="shared" si="4"/>
        <v>-1.4424810674359856E-2</v>
      </c>
      <c r="O66">
        <v>1198.3800000000001</v>
      </c>
      <c r="P66" s="69">
        <f t="shared" si="5"/>
        <v>-6.935985083902918E-3</v>
      </c>
      <c r="S66">
        <v>1231.5</v>
      </c>
      <c r="T66" s="69">
        <f t="shared" si="1"/>
        <v>-3.5856885618100631E-2</v>
      </c>
      <c r="W66">
        <v>5510.1</v>
      </c>
      <c r="X66" s="69">
        <f t="shared" si="2"/>
        <v>3.7891898784909728E-3</v>
      </c>
    </row>
    <row r="67" spans="2:24" x14ac:dyDescent="0.3">
      <c r="B67" s="77">
        <v>45814</v>
      </c>
      <c r="C67" s="17">
        <v>25003.05</v>
      </c>
      <c r="D67" s="69">
        <f t="shared" si="3"/>
        <v>1.0195671233540704E-2</v>
      </c>
      <c r="G67">
        <v>420.9</v>
      </c>
      <c r="H67" s="69">
        <f t="shared" si="0"/>
        <v>7.1787508973437664E-3</v>
      </c>
      <c r="K67">
        <v>539.75</v>
      </c>
      <c r="L67" s="69">
        <f t="shared" si="4"/>
        <v>-1.2532016099524368E-2</v>
      </c>
      <c r="O67">
        <v>1208.55</v>
      </c>
      <c r="P67" s="69">
        <f t="shared" si="5"/>
        <v>8.4864567165672256E-3</v>
      </c>
      <c r="S67">
        <v>1210.45</v>
      </c>
      <c r="T67" s="69">
        <f t="shared" si="1"/>
        <v>-1.7092976045472996E-2</v>
      </c>
      <c r="W67">
        <v>5604.75</v>
      </c>
      <c r="X67" s="69">
        <f t="shared" si="2"/>
        <v>1.7177546686993006E-2</v>
      </c>
    </row>
    <row r="68" spans="2:24" x14ac:dyDescent="0.3">
      <c r="B68" s="77">
        <v>45821</v>
      </c>
      <c r="C68" s="17">
        <v>24718.6</v>
      </c>
      <c r="D68" s="69">
        <f t="shared" si="3"/>
        <v>-1.1376612053329516E-2</v>
      </c>
      <c r="G68">
        <v>413.9</v>
      </c>
      <c r="H68" s="69">
        <f t="shared" si="0"/>
        <v>-1.6631028747921106E-2</v>
      </c>
      <c r="K68">
        <v>536.65</v>
      </c>
      <c r="L68" s="69">
        <f t="shared" si="4"/>
        <v>-5.7433997220935895E-3</v>
      </c>
      <c r="O68">
        <v>1188.25</v>
      </c>
      <c r="P68" s="69">
        <f t="shared" si="5"/>
        <v>-1.6796988126266954E-2</v>
      </c>
      <c r="S68">
        <v>1188.75</v>
      </c>
      <c r="T68" s="69">
        <f t="shared" si="1"/>
        <v>-1.7927217150646491E-2</v>
      </c>
      <c r="W68">
        <v>5569.45</v>
      </c>
      <c r="X68" s="69">
        <f t="shared" si="2"/>
        <v>-6.2982291806057411E-3</v>
      </c>
    </row>
    <row r="69" spans="2:24" x14ac:dyDescent="0.3">
      <c r="B69" s="77">
        <v>45828</v>
      </c>
      <c r="C69" s="17">
        <v>25112.400000000001</v>
      </c>
      <c r="D69" s="69">
        <f t="shared" si="3"/>
        <v>1.5931322971365791E-2</v>
      </c>
      <c r="G69">
        <v>418.45</v>
      </c>
      <c r="H69" s="69">
        <f t="shared" si="0"/>
        <v>1.0992993476685253E-2</v>
      </c>
      <c r="K69">
        <v>532.25</v>
      </c>
      <c r="L69" s="69">
        <f t="shared" si="4"/>
        <v>-8.1990123916891866E-3</v>
      </c>
      <c r="O69">
        <v>1182.33</v>
      </c>
      <c r="P69" s="69">
        <f t="shared" si="5"/>
        <v>-4.9821165579634341E-3</v>
      </c>
      <c r="S69">
        <v>1188.9000000000001</v>
      </c>
      <c r="T69" s="69">
        <f t="shared" si="1"/>
        <v>1.2618296529987028E-4</v>
      </c>
      <c r="W69">
        <v>5588.25</v>
      </c>
      <c r="X69" s="69">
        <f t="shared" si="2"/>
        <v>3.3755577301171069E-3</v>
      </c>
    </row>
    <row r="70" spans="2:24" x14ac:dyDescent="0.3">
      <c r="B70" s="77">
        <v>45835</v>
      </c>
      <c r="C70" s="17">
        <v>25637.8</v>
      </c>
      <c r="D70" s="69">
        <f t="shared" si="3"/>
        <v>2.092193498032846E-2</v>
      </c>
      <c r="G70">
        <v>418.95</v>
      </c>
      <c r="H70" s="69">
        <f t="shared" si="0"/>
        <v>1.1948858883976676E-3</v>
      </c>
      <c r="K70">
        <v>535.29999999999995</v>
      </c>
      <c r="L70" s="69">
        <f t="shared" si="4"/>
        <v>5.7303898543916709E-3</v>
      </c>
      <c r="O70">
        <v>1228.8800000000001</v>
      </c>
      <c r="P70" s="69">
        <f t="shared" si="5"/>
        <v>3.9371410689063246E-2</v>
      </c>
      <c r="S70">
        <v>1176.2</v>
      </c>
      <c r="T70" s="69">
        <f t="shared" si="1"/>
        <v>-1.0682143157540569E-2</v>
      </c>
      <c r="W70">
        <v>5792.7</v>
      </c>
      <c r="X70" s="69">
        <f t="shared" si="2"/>
        <v>3.6585693195544167E-2</v>
      </c>
    </row>
    <row r="71" spans="2:24" x14ac:dyDescent="0.3">
      <c r="B71" s="77">
        <v>45842</v>
      </c>
      <c r="C71" s="17">
        <v>25461</v>
      </c>
      <c r="D71" s="69">
        <f t="shared" si="3"/>
        <v>-6.8960675252947023E-3</v>
      </c>
      <c r="G71">
        <v>412.55</v>
      </c>
      <c r="H71" s="69">
        <f t="shared" ref="H71:H110" si="6">G71/G70-1</f>
        <v>-1.5276285952977586E-2</v>
      </c>
      <c r="K71">
        <v>539.35</v>
      </c>
      <c r="L71" s="69">
        <f t="shared" si="4"/>
        <v>7.5658509247151784E-3</v>
      </c>
      <c r="O71">
        <v>1196.03</v>
      </c>
      <c r="P71" s="69">
        <f t="shared" si="5"/>
        <v>-2.6731658095176192E-2</v>
      </c>
      <c r="S71">
        <v>1192.8</v>
      </c>
      <c r="T71" s="69">
        <f t="shared" ref="T71:T110" si="7">S71/S70-1</f>
        <v>1.4113246046590699E-2</v>
      </c>
      <c r="W71">
        <v>5768.9</v>
      </c>
      <c r="X71" s="69">
        <f t="shared" ref="X71:X110" si="8">W71/W70-1</f>
        <v>-4.1086194693321643E-3</v>
      </c>
    </row>
    <row r="72" spans="2:24" x14ac:dyDescent="0.3">
      <c r="B72" s="77">
        <v>45849</v>
      </c>
      <c r="C72" s="17">
        <v>25149.85</v>
      </c>
      <c r="D72" s="69">
        <f t="shared" ref="D72:D110" si="9">C72/C71-1</f>
        <v>-1.2220651192019205E-2</v>
      </c>
      <c r="G72">
        <v>417.05</v>
      </c>
      <c r="H72" s="69">
        <f t="shared" si="6"/>
        <v>1.0907768755302305E-2</v>
      </c>
      <c r="K72">
        <v>560.95000000000005</v>
      </c>
      <c r="L72" s="69">
        <f t="shared" ref="L72:L110" si="10">K72/K71-1</f>
        <v>4.0048206174098544E-2</v>
      </c>
      <c r="O72">
        <v>1201.2</v>
      </c>
      <c r="P72" s="69">
        <f t="shared" ref="P72:P110" si="11">O72/O71-1</f>
        <v>4.3226340476409941E-3</v>
      </c>
      <c r="S72">
        <v>1285</v>
      </c>
      <c r="T72" s="69">
        <f t="shared" si="7"/>
        <v>7.7297116029510393E-2</v>
      </c>
      <c r="W72">
        <v>5753.7</v>
      </c>
      <c r="X72" s="69">
        <f t="shared" si="8"/>
        <v>-2.6348177295497655E-3</v>
      </c>
    </row>
    <row r="73" spans="2:24" x14ac:dyDescent="0.3">
      <c r="B73" s="77">
        <v>45856</v>
      </c>
      <c r="C73" s="17">
        <v>24968.400000000001</v>
      </c>
      <c r="D73" s="69">
        <f t="shared" si="9"/>
        <v>-7.214754759968578E-3</v>
      </c>
      <c r="G73">
        <v>422.65</v>
      </c>
      <c r="H73" s="69">
        <f t="shared" si="6"/>
        <v>1.3427646565159934E-2</v>
      </c>
      <c r="K73">
        <v>567.65</v>
      </c>
      <c r="L73" s="69">
        <f t="shared" si="10"/>
        <v>1.1944023531508918E-2</v>
      </c>
      <c r="O73">
        <v>1236.4000000000001</v>
      </c>
      <c r="P73" s="69">
        <f t="shared" si="11"/>
        <v>2.9304029304029422E-2</v>
      </c>
      <c r="S73">
        <v>1252.1500000000001</v>
      </c>
      <c r="T73" s="69">
        <f t="shared" si="7"/>
        <v>-2.5564202334630304E-2</v>
      </c>
      <c r="W73">
        <v>5742.25</v>
      </c>
      <c r="X73" s="69">
        <f t="shared" si="8"/>
        <v>-1.9900238107651846E-3</v>
      </c>
    </row>
    <row r="74" spans="2:24" x14ac:dyDescent="0.3">
      <c r="B74" s="77">
        <v>45863</v>
      </c>
      <c r="C74" s="17">
        <v>24837</v>
      </c>
      <c r="D74" s="69">
        <f t="shared" si="9"/>
        <v>-5.2626519921180615E-3</v>
      </c>
      <c r="G74">
        <v>409.35</v>
      </c>
      <c r="H74" s="69">
        <f t="shared" si="6"/>
        <v>-3.1468117827989972E-2</v>
      </c>
      <c r="K74">
        <v>548.5</v>
      </c>
      <c r="L74" s="69">
        <f t="shared" si="10"/>
        <v>-3.373557649960357E-2</v>
      </c>
      <c r="O74">
        <v>1137.5</v>
      </c>
      <c r="P74" s="69">
        <f t="shared" si="11"/>
        <v>-7.9990294403105899E-2</v>
      </c>
      <c r="S74">
        <v>1217.9000000000001</v>
      </c>
      <c r="T74" s="69">
        <f t="shared" si="7"/>
        <v>-2.7352952920975948E-2</v>
      </c>
      <c r="W74">
        <v>5593.4</v>
      </c>
      <c r="X74" s="69">
        <f t="shared" si="8"/>
        <v>-2.5921894727676476E-2</v>
      </c>
    </row>
    <row r="75" spans="2:24" x14ac:dyDescent="0.3">
      <c r="B75" s="77">
        <v>45870</v>
      </c>
      <c r="C75" s="17">
        <v>24565.35</v>
      </c>
      <c r="D75" s="69">
        <f t="shared" si="9"/>
        <v>-1.0937311269477057E-2</v>
      </c>
      <c r="G75">
        <v>416.5</v>
      </c>
      <c r="H75" s="69">
        <f t="shared" si="6"/>
        <v>1.7466715524612209E-2</v>
      </c>
      <c r="K75">
        <v>549.79999999999995</v>
      </c>
      <c r="L75" s="69">
        <f t="shared" si="10"/>
        <v>2.3701002734730636E-3</v>
      </c>
      <c r="O75">
        <v>1137.98</v>
      </c>
      <c r="P75" s="69">
        <f t="shared" si="11"/>
        <v>4.2197802197807555E-4</v>
      </c>
      <c r="S75">
        <v>1265.3499999999999</v>
      </c>
      <c r="T75" s="69">
        <f t="shared" si="7"/>
        <v>3.89605057886524E-2</v>
      </c>
      <c r="W75">
        <v>5803</v>
      </c>
      <c r="X75" s="69">
        <f t="shared" si="8"/>
        <v>3.7472735724246586E-2</v>
      </c>
    </row>
    <row r="76" spans="2:24" x14ac:dyDescent="0.3">
      <c r="B76" s="77">
        <v>45877</v>
      </c>
      <c r="C76" s="17">
        <v>24363.3</v>
      </c>
      <c r="D76" s="69">
        <f t="shared" si="9"/>
        <v>-8.2249998473459263E-3</v>
      </c>
      <c r="G76">
        <v>414.4</v>
      </c>
      <c r="H76" s="69">
        <f t="shared" si="6"/>
        <v>-5.0420168067227822E-3</v>
      </c>
      <c r="K76">
        <v>535</v>
      </c>
      <c r="L76" s="69">
        <f t="shared" si="10"/>
        <v>-2.6918879592578993E-2</v>
      </c>
      <c r="O76">
        <v>1097.4000000000001</v>
      </c>
      <c r="P76" s="69">
        <f t="shared" si="11"/>
        <v>-3.5659677674475754E-2</v>
      </c>
      <c r="S76">
        <v>1185.5999999999999</v>
      </c>
      <c r="T76" s="69">
        <f t="shared" si="7"/>
        <v>-6.3026040226024427E-2</v>
      </c>
      <c r="W76">
        <v>5383.75</v>
      </c>
      <c r="X76" s="69">
        <f t="shared" si="8"/>
        <v>-7.2247113561950682E-2</v>
      </c>
    </row>
    <row r="77" spans="2:24" x14ac:dyDescent="0.3">
      <c r="B77" s="77">
        <v>45883</v>
      </c>
      <c r="C77" s="17">
        <v>24631.3</v>
      </c>
      <c r="D77" s="69">
        <f t="shared" si="9"/>
        <v>1.100015186776826E-2</v>
      </c>
      <c r="G77">
        <v>411.4</v>
      </c>
      <c r="H77" s="69">
        <f t="shared" si="6"/>
        <v>-7.2393822393822527E-3</v>
      </c>
      <c r="K77">
        <v>518</v>
      </c>
      <c r="L77" s="69">
        <f t="shared" si="10"/>
        <v>-3.1775700934579487E-2</v>
      </c>
      <c r="O77">
        <v>1089.3499999999999</v>
      </c>
      <c r="P77" s="69">
        <f t="shared" si="11"/>
        <v>-7.3355203207583486E-3</v>
      </c>
      <c r="S77">
        <v>1184.9000000000001</v>
      </c>
      <c r="T77" s="69">
        <f t="shared" si="7"/>
        <v>-5.9041835357609429E-4</v>
      </c>
      <c r="W77">
        <v>5306.2</v>
      </c>
      <c r="X77" s="69">
        <f t="shared" si="8"/>
        <v>-1.4404457859298891E-2</v>
      </c>
    </row>
    <row r="78" spans="2:24" x14ac:dyDescent="0.3">
      <c r="B78" s="77">
        <v>45891</v>
      </c>
      <c r="C78" s="17">
        <v>24870.1</v>
      </c>
      <c r="D78" s="69">
        <f t="shared" si="9"/>
        <v>9.6949815884666002E-3</v>
      </c>
      <c r="G78">
        <v>398.3</v>
      </c>
      <c r="H78" s="69">
        <f t="shared" si="6"/>
        <v>-3.1842489061740364E-2</v>
      </c>
      <c r="K78">
        <v>528.6</v>
      </c>
      <c r="L78" s="69">
        <f t="shared" si="10"/>
        <v>2.0463320463320445E-2</v>
      </c>
      <c r="O78">
        <v>1161.8499999999999</v>
      </c>
      <c r="P78" s="69">
        <f t="shared" si="11"/>
        <v>6.655344930463114E-2</v>
      </c>
      <c r="S78">
        <v>1257.8499999999999</v>
      </c>
      <c r="T78" s="69">
        <f t="shared" si="7"/>
        <v>6.1566376909443665E-2</v>
      </c>
      <c r="W78">
        <v>5545.6</v>
      </c>
      <c r="X78" s="69">
        <f t="shared" si="8"/>
        <v>4.5117032904903764E-2</v>
      </c>
    </row>
    <row r="79" spans="2:24" x14ac:dyDescent="0.3">
      <c r="B79" s="77">
        <v>45898</v>
      </c>
      <c r="C79" s="17">
        <v>24426.85</v>
      </c>
      <c r="D79" s="69">
        <f t="shared" si="9"/>
        <v>-1.7822606262138052E-2</v>
      </c>
      <c r="G79">
        <v>409.75</v>
      </c>
      <c r="H79" s="69">
        <f t="shared" si="6"/>
        <v>2.8747175495857258E-2</v>
      </c>
      <c r="K79">
        <v>524</v>
      </c>
      <c r="L79" s="69">
        <f t="shared" si="10"/>
        <v>-8.702232311766922E-3</v>
      </c>
      <c r="O79">
        <v>1155.5999999999999</v>
      </c>
      <c r="P79" s="69">
        <f t="shared" si="11"/>
        <v>-5.379351895683615E-3</v>
      </c>
      <c r="S79">
        <v>1240.8499999999999</v>
      </c>
      <c r="T79" s="69">
        <f t="shared" si="7"/>
        <v>-1.3515125014906371E-2</v>
      </c>
      <c r="W79">
        <v>5826.35</v>
      </c>
      <c r="X79" s="69">
        <f t="shared" si="8"/>
        <v>5.0625721292556269E-2</v>
      </c>
    </row>
    <row r="80" spans="2:24" x14ac:dyDescent="0.3">
      <c r="B80" s="77">
        <v>45905</v>
      </c>
      <c r="C80" s="17">
        <v>24741</v>
      </c>
      <c r="D80" s="69">
        <f t="shared" si="9"/>
        <v>1.2860847796584585E-2</v>
      </c>
      <c r="G80">
        <v>407.5</v>
      </c>
      <c r="H80" s="69">
        <f t="shared" si="6"/>
        <v>-5.4911531421598658E-3</v>
      </c>
      <c r="K80">
        <v>538.35</v>
      </c>
      <c r="L80" s="69">
        <f t="shared" si="10"/>
        <v>2.7385496183206071E-2</v>
      </c>
      <c r="O80">
        <v>1209.7</v>
      </c>
      <c r="P80" s="69">
        <f t="shared" si="11"/>
        <v>4.6815507095881115E-2</v>
      </c>
      <c r="S80">
        <v>1231.55</v>
      </c>
      <c r="T80" s="69">
        <f t="shared" si="7"/>
        <v>-7.4948623927146851E-3</v>
      </c>
      <c r="W80">
        <v>6078.8</v>
      </c>
      <c r="X80" s="69">
        <f t="shared" si="8"/>
        <v>4.3329013876612255E-2</v>
      </c>
    </row>
    <row r="81" spans="2:24" x14ac:dyDescent="0.3">
      <c r="B81" s="77">
        <v>45912</v>
      </c>
      <c r="C81" s="17">
        <v>25114</v>
      </c>
      <c r="D81" s="69">
        <f t="shared" si="9"/>
        <v>1.5076189321369338E-2</v>
      </c>
      <c r="G81">
        <v>413.6</v>
      </c>
      <c r="H81" s="69">
        <f t="shared" si="6"/>
        <v>1.4969325153374236E-2</v>
      </c>
      <c r="K81">
        <v>532.5</v>
      </c>
      <c r="L81" s="69">
        <f t="shared" si="10"/>
        <v>-1.0866536639732582E-2</v>
      </c>
      <c r="O81">
        <v>1217.45</v>
      </c>
      <c r="P81" s="69">
        <f t="shared" si="11"/>
        <v>6.4065470777878719E-3</v>
      </c>
      <c r="S81">
        <v>1248.7</v>
      </c>
      <c r="T81" s="69">
        <f t="shared" si="7"/>
        <v>1.3925540984937701E-2</v>
      </c>
      <c r="W81">
        <v>6244.85</v>
      </c>
      <c r="X81" s="69">
        <f t="shared" si="8"/>
        <v>2.7316246627623997E-2</v>
      </c>
    </row>
    <row r="82" spans="2:24" x14ac:dyDescent="0.3">
      <c r="B82" s="77">
        <v>45919</v>
      </c>
      <c r="C82" s="17">
        <v>25327.05</v>
      </c>
      <c r="D82" s="69">
        <f t="shared" si="9"/>
        <v>8.4833160786812467E-3</v>
      </c>
      <c r="G82">
        <v>410.15</v>
      </c>
      <c r="H82" s="69">
        <f t="shared" si="6"/>
        <v>-8.3413926499034119E-3</v>
      </c>
      <c r="K82">
        <v>549.65</v>
      </c>
      <c r="L82" s="69">
        <f t="shared" si="10"/>
        <v>3.2206572769952979E-2</v>
      </c>
      <c r="O82">
        <v>1195.1500000000001</v>
      </c>
      <c r="P82" s="69">
        <f t="shared" si="11"/>
        <v>-1.831697400303911E-2</v>
      </c>
      <c r="S82">
        <v>1242</v>
      </c>
      <c r="T82" s="69">
        <f t="shared" si="7"/>
        <v>-5.3655802034116018E-3</v>
      </c>
      <c r="W82">
        <v>6066.05</v>
      </c>
      <c r="X82" s="69">
        <f t="shared" si="8"/>
        <v>-2.8631592432164177E-2</v>
      </c>
    </row>
    <row r="83" spans="2:24" x14ac:dyDescent="0.3">
      <c r="B83" s="77">
        <v>45926</v>
      </c>
      <c r="C83" s="17">
        <v>24654.7</v>
      </c>
      <c r="D83" s="69">
        <f t="shared" si="9"/>
        <v>-2.6546715863079107E-2</v>
      </c>
      <c r="G83">
        <v>405.05</v>
      </c>
      <c r="H83" s="69">
        <f t="shared" si="6"/>
        <v>-1.2434475192002803E-2</v>
      </c>
      <c r="K83">
        <v>527.1</v>
      </c>
      <c r="L83" s="69">
        <f t="shared" si="10"/>
        <v>-4.1026107522969091E-2</v>
      </c>
      <c r="O83">
        <v>1162.5</v>
      </c>
      <c r="P83" s="69">
        <f t="shared" si="11"/>
        <v>-2.7318746600845101E-2</v>
      </c>
      <c r="S83">
        <v>1162.7</v>
      </c>
      <c r="T83" s="69">
        <f t="shared" si="7"/>
        <v>-6.384863123993556E-2</v>
      </c>
      <c r="W83">
        <v>5917.15</v>
      </c>
      <c r="X83" s="69">
        <f t="shared" si="8"/>
        <v>-2.4546451150254334E-2</v>
      </c>
    </row>
    <row r="84" spans="2:24" x14ac:dyDescent="0.3">
      <c r="B84" s="77">
        <v>45933</v>
      </c>
      <c r="C84" s="17">
        <v>24894.25</v>
      </c>
      <c r="D84" s="69">
        <f t="shared" si="9"/>
        <v>9.7162001565624934E-3</v>
      </c>
      <c r="G84">
        <v>404.35</v>
      </c>
      <c r="H84" s="69">
        <f t="shared" si="6"/>
        <v>-1.7281817059622284E-3</v>
      </c>
      <c r="K84">
        <v>533</v>
      </c>
      <c r="L84" s="69">
        <f t="shared" si="10"/>
        <v>1.1193321950293988E-2</v>
      </c>
      <c r="O84">
        <v>1169.7</v>
      </c>
      <c r="P84" s="69">
        <f t="shared" si="11"/>
        <v>6.1935483870967367E-3</v>
      </c>
      <c r="S84">
        <v>1149.1500000000001</v>
      </c>
      <c r="T84" s="69">
        <f t="shared" si="7"/>
        <v>-1.1653909004902374E-2</v>
      </c>
      <c r="W84">
        <v>5999.3</v>
      </c>
      <c r="X84" s="69">
        <f t="shared" si="8"/>
        <v>1.3883372907565361E-2</v>
      </c>
    </row>
    <row r="85" spans="2:24" x14ac:dyDescent="0.3">
      <c r="B85" s="77">
        <v>45940</v>
      </c>
      <c r="C85" s="17">
        <v>25285.35</v>
      </c>
      <c r="D85" s="69">
        <f t="shared" si="9"/>
        <v>1.5710455225604214E-2</v>
      </c>
      <c r="G85">
        <v>402.8</v>
      </c>
      <c r="H85" s="69">
        <f t="shared" si="6"/>
        <v>-3.8333127241251264E-3</v>
      </c>
      <c r="K85">
        <v>525.85</v>
      </c>
      <c r="L85" s="69">
        <f t="shared" si="10"/>
        <v>-1.3414634146341475E-2</v>
      </c>
      <c r="O85">
        <v>1199.75</v>
      </c>
      <c r="P85" s="69">
        <f t="shared" si="11"/>
        <v>2.5690347952466386E-2</v>
      </c>
      <c r="S85">
        <v>1129.8499999999999</v>
      </c>
      <c r="T85" s="69">
        <f t="shared" si="7"/>
        <v>-1.6795022407866789E-2</v>
      </c>
      <c r="W85">
        <v>5870.95</v>
      </c>
      <c r="X85" s="69">
        <f t="shared" si="8"/>
        <v>-2.1394162652309534E-2</v>
      </c>
    </row>
    <row r="86" spans="2:24" x14ac:dyDescent="0.3">
      <c r="B86" s="77">
        <v>45947</v>
      </c>
      <c r="C86" s="17">
        <v>25709.85</v>
      </c>
      <c r="D86" s="69">
        <f t="shared" si="9"/>
        <v>1.6788377459675319E-2</v>
      </c>
      <c r="G86">
        <v>412.1</v>
      </c>
      <c r="H86" s="69">
        <f t="shared" si="6"/>
        <v>2.3088381330685248E-2</v>
      </c>
      <c r="K86">
        <v>518.85</v>
      </c>
      <c r="L86" s="69">
        <f t="shared" si="10"/>
        <v>-1.3311780926119621E-2</v>
      </c>
      <c r="O86">
        <v>1289</v>
      </c>
      <c r="P86" s="69">
        <f t="shared" si="11"/>
        <v>7.4390498020420859E-2</v>
      </c>
      <c r="S86">
        <v>1132.4000000000001</v>
      </c>
      <c r="T86" s="69">
        <f t="shared" si="7"/>
        <v>2.2569367615172808E-3</v>
      </c>
      <c r="W86">
        <v>6080.1</v>
      </c>
      <c r="X86" s="69">
        <f t="shared" si="8"/>
        <v>3.5624558206082568E-2</v>
      </c>
    </row>
    <row r="87" spans="2:24" x14ac:dyDescent="0.3">
      <c r="B87" s="77">
        <v>45954</v>
      </c>
      <c r="C87" s="17">
        <v>25795.15</v>
      </c>
      <c r="D87" s="69">
        <f t="shared" si="9"/>
        <v>3.3177945417808274E-3</v>
      </c>
      <c r="G87">
        <v>417.1</v>
      </c>
      <c r="H87" s="69">
        <f t="shared" si="6"/>
        <v>1.2132977432661951E-2</v>
      </c>
      <c r="K87">
        <v>521.45000000000005</v>
      </c>
      <c r="L87" s="69">
        <f t="shared" si="10"/>
        <v>5.0110822010216438E-3</v>
      </c>
      <c r="O87">
        <v>1281.4000000000001</v>
      </c>
      <c r="P87" s="69">
        <f t="shared" si="11"/>
        <v>-5.896043444530541E-3</v>
      </c>
      <c r="S87">
        <v>1130.7</v>
      </c>
      <c r="T87" s="69">
        <f t="shared" si="7"/>
        <v>-1.5012363122571815E-3</v>
      </c>
      <c r="W87">
        <v>6050</v>
      </c>
      <c r="X87" s="69">
        <f t="shared" si="8"/>
        <v>-4.9505764707817868E-3</v>
      </c>
    </row>
    <row r="88" spans="2:24" x14ac:dyDescent="0.3">
      <c r="B88" s="77">
        <v>45961</v>
      </c>
      <c r="C88" s="17">
        <v>25722.1</v>
      </c>
      <c r="D88" s="69">
        <f t="shared" si="9"/>
        <v>-2.8319277073404203E-3</v>
      </c>
      <c r="G88">
        <v>420.25</v>
      </c>
      <c r="H88" s="69">
        <f t="shared" si="6"/>
        <v>7.5521457684009086E-3</v>
      </c>
      <c r="K88">
        <v>522.45000000000005</v>
      </c>
      <c r="L88" s="69">
        <f t="shared" si="10"/>
        <v>1.9177294083805307E-3</v>
      </c>
      <c r="O88">
        <v>1271.55</v>
      </c>
      <c r="P88" s="69">
        <f t="shared" si="11"/>
        <v>-7.6869049477135132E-3</v>
      </c>
      <c r="S88">
        <v>1118.3</v>
      </c>
      <c r="T88" s="69">
        <f t="shared" si="7"/>
        <v>-1.0966657822587877E-2</v>
      </c>
      <c r="W88">
        <v>5840.5</v>
      </c>
      <c r="X88" s="69">
        <f t="shared" si="8"/>
        <v>-3.4628099173553695E-2</v>
      </c>
    </row>
    <row r="89" spans="2:24" x14ac:dyDescent="0.3">
      <c r="B89" s="77">
        <v>45968</v>
      </c>
      <c r="C89" s="17">
        <v>25492.3</v>
      </c>
      <c r="D89" s="69">
        <f t="shared" si="9"/>
        <v>-8.9339517379996014E-3</v>
      </c>
      <c r="G89">
        <v>404</v>
      </c>
      <c r="H89" s="69">
        <f t="shared" si="6"/>
        <v>-3.8667459845330154E-2</v>
      </c>
      <c r="K89">
        <v>536.04999999999995</v>
      </c>
      <c r="L89" s="69">
        <f t="shared" si="10"/>
        <v>2.6031199157813933E-2</v>
      </c>
      <c r="O89">
        <v>1260.9000000000001</v>
      </c>
      <c r="P89" s="69">
        <f t="shared" si="11"/>
        <v>-8.375604577090856E-3</v>
      </c>
      <c r="S89">
        <v>1122.3499999999999</v>
      </c>
      <c r="T89" s="69">
        <f t="shared" si="7"/>
        <v>3.6215684521148095E-3</v>
      </c>
      <c r="W89">
        <v>6160.55</v>
      </c>
      <c r="X89" s="69">
        <f t="shared" si="8"/>
        <v>5.479839054875435E-2</v>
      </c>
    </row>
    <row r="90" spans="2:24" x14ac:dyDescent="0.3">
      <c r="B90" s="77">
        <v>45975</v>
      </c>
      <c r="C90" s="17">
        <v>25910.05</v>
      </c>
      <c r="D90" s="69">
        <f t="shared" si="9"/>
        <v>1.6387301263518728E-2</v>
      </c>
      <c r="G90">
        <v>407.85</v>
      </c>
      <c r="H90" s="69">
        <f t="shared" si="6"/>
        <v>9.5297029702969827E-3</v>
      </c>
      <c r="K90">
        <v>541.9</v>
      </c>
      <c r="L90" s="69">
        <f t="shared" si="10"/>
        <v>1.0913161085719603E-2</v>
      </c>
      <c r="O90">
        <v>1269.3499999999999</v>
      </c>
      <c r="P90" s="69">
        <f t="shared" si="11"/>
        <v>6.7015623760804388E-3</v>
      </c>
      <c r="S90">
        <v>1148.95</v>
      </c>
      <c r="T90" s="69">
        <f t="shared" si="7"/>
        <v>2.3700271751236457E-2</v>
      </c>
      <c r="W90">
        <v>5802.2</v>
      </c>
      <c r="X90" s="69">
        <f t="shared" si="8"/>
        <v>-5.8168507681944037E-2</v>
      </c>
    </row>
    <row r="91" spans="2:24" x14ac:dyDescent="0.3">
      <c r="B91" s="77">
        <v>45982</v>
      </c>
      <c r="C91" s="17">
        <v>26068.15</v>
      </c>
      <c r="D91" s="69">
        <f t="shared" si="9"/>
        <v>6.1018793865701415E-3</v>
      </c>
      <c r="G91">
        <v>407.8</v>
      </c>
      <c r="H91" s="69">
        <f t="shared" si="6"/>
        <v>-1.2259409096482266E-4</v>
      </c>
      <c r="K91">
        <v>551.25</v>
      </c>
      <c r="L91" s="69">
        <f t="shared" si="10"/>
        <v>1.7254105923602214E-2</v>
      </c>
      <c r="O91">
        <v>1280.8499999999999</v>
      </c>
      <c r="P91" s="69">
        <f t="shared" si="11"/>
        <v>9.0597549927127208E-3</v>
      </c>
      <c r="S91">
        <v>1125.05</v>
      </c>
      <c r="T91" s="69">
        <f t="shared" si="7"/>
        <v>-2.0801601462204666E-2</v>
      </c>
      <c r="W91">
        <v>5813</v>
      </c>
      <c r="X91" s="69">
        <f t="shared" si="8"/>
        <v>1.861362931302013E-3</v>
      </c>
    </row>
    <row r="92" spans="2:24" x14ac:dyDescent="0.3">
      <c r="B92" s="77">
        <v>45989</v>
      </c>
      <c r="C92" s="17">
        <v>26202.95</v>
      </c>
      <c r="D92" s="69">
        <f t="shared" si="9"/>
        <v>5.1710612375637233E-3</v>
      </c>
      <c r="G92">
        <v>404.4</v>
      </c>
      <c r="H92" s="69">
        <f t="shared" si="6"/>
        <v>-8.3374203040706973E-3</v>
      </c>
      <c r="K92">
        <v>538.35</v>
      </c>
      <c r="L92" s="69">
        <f t="shared" si="10"/>
        <v>-2.3401360544217598E-2</v>
      </c>
      <c r="O92">
        <v>1260.3</v>
      </c>
      <c r="P92" s="69">
        <f t="shared" si="11"/>
        <v>-1.6044033259163815E-2</v>
      </c>
      <c r="S92">
        <v>1146.2</v>
      </c>
      <c r="T92" s="69">
        <f t="shared" si="7"/>
        <v>1.879916448157859E-2</v>
      </c>
      <c r="W92">
        <v>5845.1</v>
      </c>
      <c r="X92" s="69">
        <f t="shared" si="8"/>
        <v>5.5221056253225154E-3</v>
      </c>
    </row>
    <row r="93" spans="2:24" x14ac:dyDescent="0.3">
      <c r="B93" s="77">
        <v>45996</v>
      </c>
      <c r="C93" s="17">
        <v>26186.45</v>
      </c>
      <c r="D93" s="69">
        <f t="shared" si="9"/>
        <v>-6.297000910202577E-4</v>
      </c>
      <c r="G93">
        <v>404.8</v>
      </c>
      <c r="H93" s="69">
        <f t="shared" si="6"/>
        <v>9.8911968348169843E-4</v>
      </c>
      <c r="K93">
        <v>520.9</v>
      </c>
      <c r="L93" s="69">
        <f t="shared" si="10"/>
        <v>-3.2413857156125325E-2</v>
      </c>
      <c r="O93">
        <v>1246.6500000000001</v>
      </c>
      <c r="P93" s="69">
        <f t="shared" si="11"/>
        <v>-1.0830754582242252E-2</v>
      </c>
      <c r="S93">
        <v>1135.8</v>
      </c>
      <c r="T93" s="69">
        <f t="shared" si="7"/>
        <v>-9.0734601291223571E-3</v>
      </c>
      <c r="W93">
        <v>5961.1</v>
      </c>
      <c r="X93" s="69">
        <f t="shared" si="8"/>
        <v>1.9845682708593548E-2</v>
      </c>
    </row>
    <row r="94" spans="2:24" x14ac:dyDescent="0.3">
      <c r="B94" s="77">
        <v>46003</v>
      </c>
      <c r="C94" s="17">
        <v>26046.95</v>
      </c>
      <c r="D94" s="69">
        <f t="shared" si="9"/>
        <v>-5.3271825696113995E-3</v>
      </c>
      <c r="G94">
        <v>400.5</v>
      </c>
      <c r="H94" s="69">
        <f t="shared" si="6"/>
        <v>-1.0622529644268797E-2</v>
      </c>
      <c r="K94">
        <v>533.95000000000005</v>
      </c>
      <c r="L94" s="69">
        <f t="shared" si="10"/>
        <v>2.5052793242465121E-2</v>
      </c>
      <c r="O94">
        <v>1238.1500000000001</v>
      </c>
      <c r="P94" s="69">
        <f t="shared" si="11"/>
        <v>-6.818272971563788E-3</v>
      </c>
      <c r="S94">
        <v>1153.6500000000001</v>
      </c>
      <c r="T94" s="69">
        <f t="shared" si="7"/>
        <v>1.5715795034337177E-2</v>
      </c>
      <c r="W94">
        <v>5915.3</v>
      </c>
      <c r="X94" s="69">
        <f t="shared" si="8"/>
        <v>-7.6831457281374416E-3</v>
      </c>
    </row>
    <row r="95" spans="2:24" x14ac:dyDescent="0.3">
      <c r="B95" s="77">
        <v>46010</v>
      </c>
      <c r="C95" s="17">
        <v>25966.400000000001</v>
      </c>
      <c r="D95" s="69">
        <f t="shared" si="9"/>
        <v>-3.0924925951022475E-3</v>
      </c>
      <c r="G95">
        <v>401.1</v>
      </c>
      <c r="H95" s="69">
        <f t="shared" si="6"/>
        <v>1.4981273408241069E-3</v>
      </c>
      <c r="K95">
        <v>519.75</v>
      </c>
      <c r="L95" s="69">
        <f t="shared" si="10"/>
        <v>-2.659425039797747E-2</v>
      </c>
      <c r="O95">
        <v>1243.45</v>
      </c>
      <c r="P95" s="69">
        <f t="shared" si="11"/>
        <v>4.2805798974274722E-3</v>
      </c>
      <c r="S95">
        <v>1186.2</v>
      </c>
      <c r="T95" s="69">
        <f t="shared" si="7"/>
        <v>2.8214796515407592E-2</v>
      </c>
      <c r="W95">
        <v>6102.75</v>
      </c>
      <c r="X95" s="69">
        <f t="shared" si="8"/>
        <v>3.168900985579759E-2</v>
      </c>
    </row>
    <row r="96" spans="2:24" x14ac:dyDescent="0.3">
      <c r="B96" s="77">
        <v>46017</v>
      </c>
      <c r="C96" s="17">
        <v>26042.3</v>
      </c>
      <c r="D96" s="69">
        <f t="shared" si="9"/>
        <v>2.9230081952060782E-3</v>
      </c>
      <c r="G96">
        <v>404.3</v>
      </c>
      <c r="H96" s="69">
        <f t="shared" si="6"/>
        <v>7.9780603340813272E-3</v>
      </c>
      <c r="K96">
        <v>517.9</v>
      </c>
      <c r="L96" s="69">
        <f t="shared" si="10"/>
        <v>-3.5594035594036511E-3</v>
      </c>
      <c r="O96">
        <v>1271.55</v>
      </c>
      <c r="P96" s="69">
        <f t="shared" si="11"/>
        <v>2.2598415698258822E-2</v>
      </c>
      <c r="S96">
        <v>1203</v>
      </c>
      <c r="T96" s="69">
        <f t="shared" si="7"/>
        <v>1.4162873039959445E-2</v>
      </c>
      <c r="W96">
        <v>6030.15</v>
      </c>
      <c r="X96" s="69">
        <f t="shared" si="8"/>
        <v>-1.1896276268895223E-2</v>
      </c>
    </row>
    <row r="97" spans="2:24" x14ac:dyDescent="0.3">
      <c r="B97" s="77">
        <v>46024</v>
      </c>
      <c r="C97" s="17">
        <v>26328.55</v>
      </c>
      <c r="D97" s="69">
        <f t="shared" si="9"/>
        <v>1.0991732681061128E-2</v>
      </c>
      <c r="G97">
        <v>350.15</v>
      </c>
      <c r="H97" s="69">
        <f t="shared" si="6"/>
        <v>-0.13393519663616138</v>
      </c>
      <c r="K97">
        <v>514.04999999999995</v>
      </c>
      <c r="L97" s="69">
        <f t="shared" si="10"/>
        <v>-7.4338675419965972E-3</v>
      </c>
      <c r="O97">
        <v>1279.5999999999999</v>
      </c>
      <c r="P97" s="69">
        <f t="shared" si="11"/>
        <v>6.330856041838695E-3</v>
      </c>
      <c r="S97">
        <v>1235.8499999999999</v>
      </c>
      <c r="T97" s="69">
        <f t="shared" si="7"/>
        <v>2.7306733167082209E-2</v>
      </c>
      <c r="W97">
        <v>5981.65</v>
      </c>
      <c r="X97" s="69">
        <f t="shared" si="8"/>
        <v>-8.0429176720313578E-3</v>
      </c>
    </row>
    <row r="98" spans="2:24" x14ac:dyDescent="0.3">
      <c r="B98" s="77">
        <v>46031</v>
      </c>
      <c r="C98" s="17">
        <v>25683.3</v>
      </c>
      <c r="D98" s="69">
        <f t="shared" si="9"/>
        <v>-2.4507616256877029E-2</v>
      </c>
      <c r="G98">
        <v>337.1</v>
      </c>
      <c r="H98" s="69">
        <f t="shared" si="6"/>
        <v>-3.7269741539340151E-2</v>
      </c>
      <c r="K98">
        <v>509.75</v>
      </c>
      <c r="L98" s="69">
        <f t="shared" si="10"/>
        <v>-8.3649450442563333E-3</v>
      </c>
      <c r="O98">
        <v>1298.95</v>
      </c>
      <c r="P98" s="69">
        <f t="shared" si="11"/>
        <v>1.5121913097843276E-2</v>
      </c>
      <c r="S98">
        <v>1228.6500000000001</v>
      </c>
      <c r="T98" s="69">
        <f t="shared" si="7"/>
        <v>-5.8259497511832237E-3</v>
      </c>
      <c r="W98">
        <v>5977.65</v>
      </c>
      <c r="X98" s="69">
        <f t="shared" si="8"/>
        <v>-6.6871181028649307E-4</v>
      </c>
    </row>
    <row r="99" spans="2:24" x14ac:dyDescent="0.3">
      <c r="B99" s="77">
        <v>46038</v>
      </c>
      <c r="C99" s="17">
        <v>25694.35</v>
      </c>
      <c r="D99" s="69">
        <f t="shared" si="9"/>
        <v>4.3024066222008273E-4</v>
      </c>
      <c r="G99">
        <v>329.25</v>
      </c>
      <c r="H99" s="69">
        <f t="shared" si="6"/>
        <v>-2.3286858498961838E-2</v>
      </c>
      <c r="K99">
        <v>492.8</v>
      </c>
      <c r="L99" s="69">
        <f t="shared" si="10"/>
        <v>-3.3251593918587563E-2</v>
      </c>
      <c r="O99">
        <v>1315.25</v>
      </c>
      <c r="P99" s="69">
        <f t="shared" si="11"/>
        <v>1.2548596943685153E-2</v>
      </c>
      <c r="S99">
        <v>1236.75</v>
      </c>
      <c r="T99" s="69">
        <f t="shared" si="7"/>
        <v>6.592601635941886E-3</v>
      </c>
      <c r="W99">
        <v>5899.3</v>
      </c>
      <c r="X99" s="69">
        <f t="shared" si="8"/>
        <v>-1.3107157495002131E-2</v>
      </c>
    </row>
    <row r="100" spans="2:24" x14ac:dyDescent="0.3">
      <c r="B100" s="77">
        <v>46045</v>
      </c>
      <c r="C100" s="17">
        <v>25048.65</v>
      </c>
      <c r="D100" s="69">
        <f t="shared" si="9"/>
        <v>-2.5130038315816394E-2</v>
      </c>
      <c r="G100">
        <v>323.45</v>
      </c>
      <c r="H100" s="69">
        <f t="shared" si="6"/>
        <v>-1.7615793470007635E-2</v>
      </c>
      <c r="K100">
        <v>451.1</v>
      </c>
      <c r="L100" s="69">
        <f t="shared" si="10"/>
        <v>-8.461850649350644E-2</v>
      </c>
      <c r="O100">
        <v>1293.3</v>
      </c>
      <c r="P100" s="69">
        <f t="shared" si="11"/>
        <v>-1.6688842425394479E-2</v>
      </c>
      <c r="S100">
        <v>1240.25</v>
      </c>
      <c r="T100" s="69">
        <f t="shared" si="7"/>
        <v>2.8299979785728624E-3</v>
      </c>
      <c r="W100">
        <v>5834.1</v>
      </c>
      <c r="X100" s="69">
        <f t="shared" si="8"/>
        <v>-1.105215873069687E-2</v>
      </c>
    </row>
    <row r="101" spans="2:24" x14ac:dyDescent="0.3">
      <c r="B101" s="77">
        <v>46052</v>
      </c>
      <c r="C101" s="17">
        <v>25320.65</v>
      </c>
      <c r="D101" s="69">
        <f t="shared" si="9"/>
        <v>1.0858868641623332E-2</v>
      </c>
      <c r="G101">
        <v>322.2</v>
      </c>
      <c r="H101" s="69">
        <f t="shared" si="6"/>
        <v>-3.8645849435771096E-3</v>
      </c>
      <c r="K101">
        <v>466.85</v>
      </c>
      <c r="L101" s="69">
        <f t="shared" si="10"/>
        <v>3.4914653070272639E-2</v>
      </c>
      <c r="O101">
        <v>1331.45</v>
      </c>
      <c r="P101" s="69">
        <f t="shared" si="11"/>
        <v>2.949818294285933E-2</v>
      </c>
      <c r="S101">
        <v>1154.9000000000001</v>
      </c>
      <c r="T101" s="69">
        <f t="shared" si="7"/>
        <v>-6.881677081233617E-2</v>
      </c>
      <c r="W101">
        <v>5856.1</v>
      </c>
      <c r="X101" s="69">
        <f t="shared" si="8"/>
        <v>3.770932963096385E-3</v>
      </c>
    </row>
    <row r="102" spans="2:24" x14ac:dyDescent="0.3">
      <c r="B102" s="77">
        <v>46059</v>
      </c>
      <c r="C102" s="17">
        <v>25693.7</v>
      </c>
      <c r="D102" s="69">
        <f t="shared" si="9"/>
        <v>1.4733034104574605E-2</v>
      </c>
      <c r="G102">
        <v>326.05</v>
      </c>
      <c r="H102" s="69">
        <f t="shared" si="6"/>
        <v>1.194909993792681E-2</v>
      </c>
      <c r="K102">
        <v>488.35</v>
      </c>
      <c r="L102" s="69">
        <f t="shared" si="10"/>
        <v>4.6053336189354255E-2</v>
      </c>
      <c r="O102">
        <v>1302.3499999999999</v>
      </c>
      <c r="P102" s="69">
        <f t="shared" si="11"/>
        <v>-2.1855871418378525E-2</v>
      </c>
      <c r="S102">
        <v>1181.4000000000001</v>
      </c>
      <c r="T102" s="69">
        <f t="shared" si="7"/>
        <v>2.2945709585245444E-2</v>
      </c>
      <c r="W102">
        <v>5904.85</v>
      </c>
      <c r="X102" s="69">
        <f t="shared" si="8"/>
        <v>8.3246529260088131E-3</v>
      </c>
    </row>
    <row r="103" spans="2:24" x14ac:dyDescent="0.3">
      <c r="B103" s="77">
        <v>46066</v>
      </c>
      <c r="C103" s="17">
        <v>25471.1</v>
      </c>
      <c r="D103" s="69">
        <f t="shared" si="9"/>
        <v>-8.6636023616685209E-3</v>
      </c>
      <c r="G103">
        <v>313.60000000000002</v>
      </c>
      <c r="H103" s="69">
        <f t="shared" si="6"/>
        <v>-3.8184327557123088E-2</v>
      </c>
      <c r="K103">
        <v>505.65</v>
      </c>
      <c r="L103" s="69">
        <f t="shared" si="10"/>
        <v>3.5425412101975917E-2</v>
      </c>
      <c r="O103">
        <v>1282.55</v>
      </c>
      <c r="P103" s="69">
        <f t="shared" si="11"/>
        <v>-1.5203286366952007E-2</v>
      </c>
      <c r="S103">
        <v>1194.6500000000001</v>
      </c>
      <c r="T103" s="69">
        <f t="shared" si="7"/>
        <v>1.1215507025562843E-2</v>
      </c>
      <c r="W103">
        <v>5979.65</v>
      </c>
      <c r="X103" s="69">
        <f t="shared" si="8"/>
        <v>1.2667552943766536E-2</v>
      </c>
    </row>
    <row r="104" spans="2:24" x14ac:dyDescent="0.3">
      <c r="B104" s="77">
        <v>46073</v>
      </c>
      <c r="C104" s="17">
        <v>25571.25</v>
      </c>
      <c r="D104" s="69">
        <f t="shared" si="9"/>
        <v>3.9319071418195684E-3</v>
      </c>
      <c r="G104">
        <v>327</v>
      </c>
      <c r="H104" s="69">
        <f t="shared" si="6"/>
        <v>4.2729591836734526E-2</v>
      </c>
      <c r="K104">
        <v>496.5</v>
      </c>
      <c r="L104" s="69">
        <f t="shared" si="10"/>
        <v>-1.8095520617027572E-2</v>
      </c>
      <c r="O104">
        <v>1293.3</v>
      </c>
      <c r="P104" s="69">
        <f t="shared" si="11"/>
        <v>8.3817395033332076E-3</v>
      </c>
      <c r="S104">
        <v>1205.5999999999999</v>
      </c>
      <c r="T104" s="69">
        <f t="shared" si="7"/>
        <v>9.1658644791359212E-3</v>
      </c>
      <c r="W104">
        <v>6094.95</v>
      </c>
      <c r="X104" s="69">
        <f t="shared" si="8"/>
        <v>1.9282065003804583E-2</v>
      </c>
    </row>
    <row r="105" spans="2:24" x14ac:dyDescent="0.3">
      <c r="B105" s="77">
        <v>46080</v>
      </c>
      <c r="C105" s="17">
        <v>25178.65</v>
      </c>
      <c r="D105" s="69">
        <f t="shared" si="9"/>
        <v>-1.5353179840641329E-2</v>
      </c>
      <c r="G105">
        <v>313.60000000000002</v>
      </c>
      <c r="H105" s="69">
        <f t="shared" si="6"/>
        <v>-4.0978593272171238E-2</v>
      </c>
      <c r="K105">
        <v>484.55</v>
      </c>
      <c r="L105" s="69">
        <f t="shared" si="10"/>
        <v>-2.4068479355488392E-2</v>
      </c>
      <c r="O105">
        <v>1291.45</v>
      </c>
      <c r="P105" s="69">
        <f t="shared" si="11"/>
        <v>-1.4304492383823142E-3</v>
      </c>
      <c r="S105">
        <v>1217.5999999999999</v>
      </c>
      <c r="T105" s="69">
        <f t="shared" si="7"/>
        <v>9.9535500995355797E-3</v>
      </c>
      <c r="W105">
        <v>5994.25</v>
      </c>
      <c r="X105" s="69">
        <f t="shared" si="8"/>
        <v>-1.6521874666732272E-2</v>
      </c>
    </row>
    <row r="106" spans="2:24" x14ac:dyDescent="0.3">
      <c r="B106" s="77">
        <v>46087</v>
      </c>
      <c r="C106" s="17">
        <v>24450.45</v>
      </c>
      <c r="D106" s="69">
        <f t="shared" si="9"/>
        <v>-2.892132818876314E-2</v>
      </c>
      <c r="G106">
        <v>309.75</v>
      </c>
      <c r="H106" s="69">
        <f t="shared" si="6"/>
        <v>-1.2276785714285809E-2</v>
      </c>
      <c r="K106">
        <v>475.8</v>
      </c>
      <c r="L106" s="69">
        <f t="shared" si="10"/>
        <v>-1.8057991951294983E-2</v>
      </c>
      <c r="O106">
        <v>1252.4000000000001</v>
      </c>
      <c r="P106" s="69">
        <f t="shared" si="11"/>
        <v>-3.0237330132796392E-2</v>
      </c>
      <c r="S106">
        <v>1116.75</v>
      </c>
      <c r="T106" s="69">
        <f t="shared" si="7"/>
        <v>-8.2826872536136631E-2</v>
      </c>
      <c r="W106">
        <v>5985.55</v>
      </c>
      <c r="X106" s="69">
        <f t="shared" si="8"/>
        <v>-1.4513909162947591E-3</v>
      </c>
    </row>
    <row r="107" spans="2:24" x14ac:dyDescent="0.3">
      <c r="B107" s="77">
        <v>46094</v>
      </c>
      <c r="C107" s="17">
        <v>23151.1</v>
      </c>
      <c r="D107" s="69">
        <f t="shared" si="9"/>
        <v>-5.3142171207482991E-2</v>
      </c>
      <c r="G107">
        <v>301.5</v>
      </c>
      <c r="H107" s="69">
        <f t="shared" si="6"/>
        <v>-2.6634382566585901E-2</v>
      </c>
      <c r="K107">
        <v>473.4</v>
      </c>
      <c r="L107" s="69">
        <f t="shared" si="10"/>
        <v>-5.0441361916772065E-3</v>
      </c>
      <c r="O107">
        <v>1202.05</v>
      </c>
      <c r="P107" s="69">
        <f t="shared" si="11"/>
        <v>-4.020281060364117E-2</v>
      </c>
      <c r="S107">
        <v>1027.5999999999999</v>
      </c>
      <c r="T107" s="69">
        <f t="shared" si="7"/>
        <v>-7.9829863443026672E-2</v>
      </c>
      <c r="W107">
        <v>5808.5</v>
      </c>
      <c r="X107" s="69">
        <f t="shared" si="8"/>
        <v>-2.9579570799675881E-2</v>
      </c>
    </row>
    <row r="108" spans="2:24" x14ac:dyDescent="0.3">
      <c r="B108" s="77">
        <v>46101</v>
      </c>
      <c r="C108" s="17">
        <v>23114.5</v>
      </c>
      <c r="D108" s="69">
        <f t="shared" si="9"/>
        <v>-1.5809184012853805E-3</v>
      </c>
      <c r="G108">
        <v>299.89999999999998</v>
      </c>
      <c r="H108" s="69">
        <f t="shared" si="6"/>
        <v>-5.3067993366501254E-3</v>
      </c>
      <c r="K108">
        <v>481.7</v>
      </c>
      <c r="L108" s="69">
        <f t="shared" si="10"/>
        <v>1.7532741867342549E-2</v>
      </c>
      <c r="O108">
        <v>1193.9000000000001</v>
      </c>
      <c r="P108" s="69">
        <f t="shared" si="11"/>
        <v>-6.7800840231270199E-3</v>
      </c>
      <c r="S108">
        <v>1017.15</v>
      </c>
      <c r="T108" s="69">
        <f t="shared" si="7"/>
        <v>-1.0169326586220273E-2</v>
      </c>
      <c r="W108">
        <v>5615.85</v>
      </c>
      <c r="X108" s="69">
        <f t="shared" si="8"/>
        <v>-3.3166910562107188E-2</v>
      </c>
    </row>
    <row r="109" spans="2:24" x14ac:dyDescent="0.3">
      <c r="B109" s="77">
        <v>46108</v>
      </c>
      <c r="C109" s="17">
        <v>22819.599999999999</v>
      </c>
      <c r="D109" s="69">
        <f t="shared" si="9"/>
        <v>-1.275822535637805E-2</v>
      </c>
      <c r="G109">
        <v>294.75</v>
      </c>
      <c r="H109" s="69">
        <f t="shared" si="6"/>
        <v>-1.7172390796932224E-2</v>
      </c>
      <c r="K109">
        <v>507.65</v>
      </c>
      <c r="L109" s="69">
        <f t="shared" si="10"/>
        <v>5.3871704380319629E-2</v>
      </c>
      <c r="O109">
        <v>1194.25</v>
      </c>
      <c r="P109" s="69">
        <f t="shared" si="11"/>
        <v>2.9315688081066327E-4</v>
      </c>
      <c r="S109">
        <v>1008.9</v>
      </c>
      <c r="T109" s="69">
        <f t="shared" si="7"/>
        <v>-8.1108980976257739E-3</v>
      </c>
      <c r="W109">
        <v>5500.4</v>
      </c>
      <c r="X109" s="69">
        <f t="shared" si="8"/>
        <v>-2.0557885271152321E-2</v>
      </c>
    </row>
    <row r="110" spans="2:24" x14ac:dyDescent="0.3">
      <c r="B110" s="77">
        <v>46111</v>
      </c>
      <c r="C110" s="17">
        <v>22331.4</v>
      </c>
      <c r="D110" s="69">
        <f t="shared" si="9"/>
        <v>-2.1393889463443561E-2</v>
      </c>
      <c r="G110">
        <v>287.7</v>
      </c>
      <c r="H110" s="69">
        <f t="shared" si="6"/>
        <v>-2.3918575063613279E-2</v>
      </c>
      <c r="K110">
        <v>510.1</v>
      </c>
      <c r="L110" s="69">
        <f t="shared" si="10"/>
        <v>4.8261597557373026E-3</v>
      </c>
      <c r="O110">
        <v>1174.8</v>
      </c>
      <c r="P110" s="69">
        <f t="shared" si="11"/>
        <v>-1.6286372200125632E-2</v>
      </c>
      <c r="S110">
        <v>984.7</v>
      </c>
      <c r="T110" s="69">
        <f t="shared" si="7"/>
        <v>-2.3986519972246989E-2</v>
      </c>
      <c r="W110">
        <v>5426.4</v>
      </c>
      <c r="X110" s="69">
        <f t="shared" si="8"/>
        <v>-1.3453567013308132E-2</v>
      </c>
    </row>
    <row r="113" spans="7:24" x14ac:dyDescent="0.3">
      <c r="G113" s="84" t="s">
        <v>162</v>
      </c>
      <c r="H113" s="83">
        <f>SLOPE(H7:H110,$D$7:$D$110)</f>
        <v>0.52972915881875093</v>
      </c>
      <c r="K113" s="84" t="s">
        <v>162</v>
      </c>
      <c r="L113" s="83">
        <f>SLOPE(L7:L110,$D$7:$D$110)</f>
        <v>1.0167884872541002</v>
      </c>
      <c r="O113" s="84" t="s">
        <v>162</v>
      </c>
      <c r="P113" s="83">
        <f>SLOPE(P7:P110,$D$7:$D$110)</f>
        <v>0.81759041700141011</v>
      </c>
      <c r="S113" s="84" t="s">
        <v>162</v>
      </c>
      <c r="T113" s="83">
        <f>SLOPE(T7:T110,$D$7:$D$110)</f>
        <v>0.8906430869859161</v>
      </c>
      <c r="W113" s="84" t="s">
        <v>162</v>
      </c>
      <c r="X113" s="83">
        <f>SLOPE(X7:X110,$D$7:$D$110)</f>
        <v>0.54348000300754173</v>
      </c>
    </row>
  </sheetData>
  <mergeCells count="6">
    <mergeCell ref="V4:X4"/>
    <mergeCell ref="B4:D4"/>
    <mergeCell ref="F4:H4"/>
    <mergeCell ref="J4:L4"/>
    <mergeCell ref="N4:P4"/>
    <mergeCell ref="R4:T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56F0-D46B-43FF-96CB-E11844F62D9F}">
  <dimension ref="B2:G21"/>
  <sheetViews>
    <sheetView showGridLines="0" workbookViewId="0">
      <selection activeCell="G15" sqref="G15"/>
    </sheetView>
  </sheetViews>
  <sheetFormatPr defaultRowHeight="14.4" x14ac:dyDescent="0.3"/>
  <cols>
    <col min="1" max="1" width="1.88671875" customWidth="1"/>
    <col min="6" max="6" width="20.6640625" bestFit="1" customWidth="1"/>
  </cols>
  <sheetData>
    <row r="2" spans="2:7" x14ac:dyDescent="0.3">
      <c r="B2" s="188" t="s">
        <v>224</v>
      </c>
      <c r="C2" s="188"/>
    </row>
    <row r="5" spans="2:7" x14ac:dyDescent="0.3">
      <c r="B5" s="75" t="s">
        <v>149</v>
      </c>
      <c r="C5" s="90" t="s">
        <v>222</v>
      </c>
    </row>
    <row r="6" spans="2:7" x14ac:dyDescent="0.3">
      <c r="B6" s="74">
        <v>2016</v>
      </c>
      <c r="C6" s="69">
        <v>3.0099999999999998E-2</v>
      </c>
    </row>
    <row r="7" spans="2:7" x14ac:dyDescent="0.3">
      <c r="B7" s="74">
        <v>2017</v>
      </c>
      <c r="C7" s="69">
        <v>0.28649999999999998</v>
      </c>
    </row>
    <row r="8" spans="2:7" x14ac:dyDescent="0.3">
      <c r="B8" s="74">
        <v>2018</v>
      </c>
      <c r="C8" s="69">
        <v>3.15E-2</v>
      </c>
    </row>
    <row r="9" spans="2:7" x14ac:dyDescent="0.3">
      <c r="B9" s="74">
        <v>2019</v>
      </c>
      <c r="C9" s="69">
        <v>0.1202</v>
      </c>
    </row>
    <row r="10" spans="2:7" x14ac:dyDescent="0.3">
      <c r="B10" s="74">
        <v>2020</v>
      </c>
      <c r="C10" s="69">
        <v>0.14899999999999999</v>
      </c>
    </row>
    <row r="11" spans="2:7" x14ac:dyDescent="0.3">
      <c r="B11" s="74">
        <v>2021</v>
      </c>
      <c r="C11" s="69">
        <v>0.2412</v>
      </c>
    </row>
    <row r="12" spans="2:7" x14ac:dyDescent="0.3">
      <c r="B12" s="74">
        <v>2022</v>
      </c>
      <c r="C12" s="69">
        <v>4.3200000000000002E-2</v>
      </c>
    </row>
    <row r="13" spans="2:7" x14ac:dyDescent="0.3">
      <c r="B13" s="74">
        <v>2023</v>
      </c>
      <c r="C13" s="69">
        <v>0.19420000000000001</v>
      </c>
      <c r="F13" s="2" t="s">
        <v>223</v>
      </c>
      <c r="G13" s="69">
        <f>AVERAGE(C6:C15)</f>
        <v>0.12884999999999996</v>
      </c>
    </row>
    <row r="14" spans="2:7" x14ac:dyDescent="0.3">
      <c r="B14" s="74">
        <v>2024</v>
      </c>
      <c r="C14" s="69">
        <v>8.7499999999999994E-2</v>
      </c>
      <c r="F14" s="2" t="s">
        <v>225</v>
      </c>
      <c r="G14" s="91">
        <v>1.2800000000000001E-2</v>
      </c>
    </row>
    <row r="15" spans="2:7" x14ac:dyDescent="0.3">
      <c r="B15" s="74">
        <v>2025</v>
      </c>
      <c r="C15" s="69">
        <v>0.1051</v>
      </c>
      <c r="F15" s="58" t="s">
        <v>226</v>
      </c>
      <c r="G15" s="71">
        <f>G13+G14</f>
        <v>0.14164999999999997</v>
      </c>
    </row>
    <row r="16" spans="2:7" x14ac:dyDescent="0.3">
      <c r="B16" s="74"/>
      <c r="C16" s="69"/>
    </row>
    <row r="17" spans="2:3" x14ac:dyDescent="0.3">
      <c r="B17" s="74"/>
      <c r="C17" s="69"/>
    </row>
    <row r="18" spans="2:3" x14ac:dyDescent="0.3">
      <c r="B18" s="74"/>
      <c r="C18" s="69"/>
    </row>
    <row r="19" spans="2:3" x14ac:dyDescent="0.3">
      <c r="B19" s="74"/>
      <c r="C19" s="69"/>
    </row>
    <row r="20" spans="2:3" x14ac:dyDescent="0.3">
      <c r="B20" s="74"/>
      <c r="C20" s="69"/>
    </row>
    <row r="21" spans="2:3" x14ac:dyDescent="0.3">
      <c r="B21" s="74"/>
      <c r="C21" s="69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4A69-7C06-4D67-B18B-3AA3EE279B67}">
  <sheetPr>
    <tabColor rgb="FF1F4E78"/>
  </sheetPr>
  <dimension ref="A1"/>
  <sheetViews>
    <sheetView workbookViewId="0">
      <selection activeCell="B1" sqref="B1"/>
    </sheetView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K25" sqref="K25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34</v>
      </c>
      <c r="E1" s="189" t="str">
        <f>IF(B2&lt;&gt;B3, "A NEW VERSION OF THE WORKSHEET IS AVAILABLE", "")</f>
        <v/>
      </c>
      <c r="F1" s="189"/>
      <c r="G1" s="189"/>
      <c r="H1" s="189"/>
      <c r="I1" s="189"/>
      <c r="J1" s="189"/>
      <c r="K1" s="189"/>
    </row>
    <row r="2" spans="1:11" x14ac:dyDescent="0.3">
      <c r="A2" s="1" t="s">
        <v>32</v>
      </c>
      <c r="B2" s="3">
        <v>2.1</v>
      </c>
      <c r="E2" s="190" t="s">
        <v>22</v>
      </c>
      <c r="F2" s="190"/>
      <c r="G2" s="190"/>
      <c r="H2" s="190"/>
      <c r="I2" s="190"/>
      <c r="J2" s="190"/>
      <c r="K2" s="190"/>
    </row>
    <row r="3" spans="1:11" x14ac:dyDescent="0.3">
      <c r="A3" s="1" t="s">
        <v>33</v>
      </c>
      <c r="B3" s="3">
        <v>2.1</v>
      </c>
    </row>
    <row r="4" spans="1:11" x14ac:dyDescent="0.3">
      <c r="A4" s="1"/>
    </row>
    <row r="5" spans="1:11" x14ac:dyDescent="0.3">
      <c r="A5" s="1" t="s">
        <v>35</v>
      </c>
    </row>
    <row r="6" spans="1:11" x14ac:dyDescent="0.3">
      <c r="A6" s="3" t="s">
        <v>28</v>
      </c>
      <c r="B6" s="3">
        <f>IF(B9&gt;0, B9/B8, 0)</f>
        <v>234.95912503777404</v>
      </c>
    </row>
    <row r="7" spans="1:11" x14ac:dyDescent="0.3">
      <c r="A7" s="3" t="s">
        <v>17</v>
      </c>
      <c r="B7">
        <v>1</v>
      </c>
    </row>
    <row r="8" spans="1:11" x14ac:dyDescent="0.3">
      <c r="A8" s="3" t="s">
        <v>29</v>
      </c>
      <c r="B8">
        <v>2150.9499999999998</v>
      </c>
    </row>
    <row r="9" spans="1:11" x14ac:dyDescent="0.3">
      <c r="A9" s="3" t="s">
        <v>45</v>
      </c>
      <c r="B9">
        <v>505385.33</v>
      </c>
    </row>
    <row r="15" spans="1:11" x14ac:dyDescent="0.3">
      <c r="A15" s="1" t="s">
        <v>23</v>
      </c>
    </row>
    <row r="16" spans="1:11" s="8" customFormat="1" x14ac:dyDescent="0.3">
      <c r="A16" s="7" t="s">
        <v>24</v>
      </c>
      <c r="B16" s="6">
        <v>42460</v>
      </c>
      <c r="C16" s="6">
        <v>42825</v>
      </c>
      <c r="D16" s="6">
        <v>43190</v>
      </c>
      <c r="E16" s="6">
        <v>43555</v>
      </c>
      <c r="F16" s="6">
        <v>43921</v>
      </c>
      <c r="G16" s="6">
        <v>44286</v>
      </c>
      <c r="H16" s="6">
        <v>44651</v>
      </c>
      <c r="I16" s="6">
        <v>45016</v>
      </c>
      <c r="J16" s="6">
        <v>45382</v>
      </c>
      <c r="K16" s="6">
        <v>45747</v>
      </c>
    </row>
    <row r="17" spans="1:11" s="5" customFormat="1" x14ac:dyDescent="0.3">
      <c r="A17" s="5" t="s">
        <v>1</v>
      </c>
      <c r="B17">
        <v>32186</v>
      </c>
      <c r="C17">
        <v>33162</v>
      </c>
      <c r="D17">
        <v>35545</v>
      </c>
      <c r="E17">
        <v>39310</v>
      </c>
      <c r="F17">
        <v>39783</v>
      </c>
      <c r="G17">
        <v>47028</v>
      </c>
      <c r="H17">
        <v>52446</v>
      </c>
      <c r="I17">
        <v>60580</v>
      </c>
      <c r="J17">
        <v>61896</v>
      </c>
      <c r="K17">
        <v>63121</v>
      </c>
    </row>
    <row r="18" spans="1:11" s="5" customFormat="1" x14ac:dyDescent="0.3">
      <c r="A18" s="3" t="s">
        <v>46</v>
      </c>
      <c r="B18">
        <v>13184</v>
      </c>
      <c r="C18">
        <v>13606</v>
      </c>
      <c r="D18">
        <v>14233</v>
      </c>
      <c r="E18">
        <v>15845</v>
      </c>
      <c r="F18">
        <v>15697</v>
      </c>
      <c r="G18">
        <v>20141</v>
      </c>
      <c r="H18">
        <v>22871</v>
      </c>
      <c r="I18">
        <v>28427</v>
      </c>
      <c r="J18">
        <v>26822</v>
      </c>
      <c r="K18">
        <v>27344</v>
      </c>
    </row>
    <row r="19" spans="1:11" s="5" customFormat="1" x14ac:dyDescent="0.3">
      <c r="A19" s="3" t="s">
        <v>47</v>
      </c>
      <c r="B19">
        <v>-83</v>
      </c>
      <c r="C19">
        <v>-144</v>
      </c>
      <c r="D19">
        <v>72</v>
      </c>
      <c r="E19">
        <v>-12</v>
      </c>
      <c r="F19">
        <v>108</v>
      </c>
      <c r="G19">
        <v>405</v>
      </c>
      <c r="H19">
        <v>22</v>
      </c>
      <c r="I19">
        <v>75</v>
      </c>
      <c r="J19">
        <v>11</v>
      </c>
      <c r="K19">
        <v>153</v>
      </c>
    </row>
    <row r="20" spans="1:11" s="5" customFormat="1" x14ac:dyDescent="0.3">
      <c r="A20" s="3" t="s">
        <v>48</v>
      </c>
      <c r="B20">
        <v>309</v>
      </c>
      <c r="C20">
        <v>295</v>
      </c>
      <c r="D20">
        <v>295</v>
      </c>
      <c r="E20">
        <v>308</v>
      </c>
      <c r="F20">
        <v>299</v>
      </c>
      <c r="G20">
        <v>339</v>
      </c>
      <c r="H20">
        <v>318</v>
      </c>
      <c r="I20">
        <v>384</v>
      </c>
      <c r="J20">
        <v>446</v>
      </c>
      <c r="K20">
        <v>427</v>
      </c>
    </row>
    <row r="21" spans="1:11" s="5" customFormat="1" x14ac:dyDescent="0.3">
      <c r="A21" s="3" t="s">
        <v>49</v>
      </c>
      <c r="B21">
        <v>2966</v>
      </c>
      <c r="C21">
        <v>2887</v>
      </c>
      <c r="D21">
        <v>2998</v>
      </c>
      <c r="E21">
        <v>3041</v>
      </c>
      <c r="F21">
        <v>2906</v>
      </c>
      <c r="G21">
        <v>2868</v>
      </c>
      <c r="H21">
        <v>3354</v>
      </c>
      <c r="I21">
        <v>3791</v>
      </c>
      <c r="J21">
        <v>3385</v>
      </c>
      <c r="K21">
        <v>3834</v>
      </c>
    </row>
    <row r="22" spans="1:11" s="5" customFormat="1" x14ac:dyDescent="0.3">
      <c r="A22" s="3" t="s">
        <v>50</v>
      </c>
      <c r="B22">
        <v>1680</v>
      </c>
      <c r="C22">
        <v>1743</v>
      </c>
      <c r="D22">
        <v>1860</v>
      </c>
      <c r="E22">
        <v>1875</v>
      </c>
      <c r="F22">
        <v>1820</v>
      </c>
      <c r="G22">
        <v>2358</v>
      </c>
      <c r="H22">
        <v>2545</v>
      </c>
      <c r="I22">
        <v>2854</v>
      </c>
      <c r="J22">
        <v>3009</v>
      </c>
      <c r="K22">
        <v>3077</v>
      </c>
    </row>
    <row r="23" spans="1:11" s="5" customFormat="1" x14ac:dyDescent="0.3">
      <c r="A23" s="3" t="s">
        <v>51</v>
      </c>
      <c r="B23">
        <v>6741</v>
      </c>
      <c r="C23">
        <v>6689</v>
      </c>
      <c r="D23">
        <v>7252</v>
      </c>
      <c r="E23">
        <v>7796</v>
      </c>
      <c r="F23">
        <v>7620</v>
      </c>
      <c r="G23">
        <v>7906</v>
      </c>
      <c r="H23">
        <v>8164</v>
      </c>
      <c r="I23">
        <v>8785</v>
      </c>
      <c r="J23">
        <v>10780</v>
      </c>
      <c r="K23">
        <v>10693</v>
      </c>
    </row>
    <row r="24" spans="1:11" s="5" customFormat="1" x14ac:dyDescent="0.3">
      <c r="A24" s="3" t="s">
        <v>52</v>
      </c>
      <c r="B24">
        <v>1313</v>
      </c>
      <c r="C24">
        <v>1470</v>
      </c>
      <c r="D24">
        <v>1480</v>
      </c>
      <c r="E24">
        <v>1553</v>
      </c>
      <c r="F24">
        <v>1688</v>
      </c>
      <c r="G24">
        <v>2195</v>
      </c>
      <c r="H24">
        <v>2359</v>
      </c>
      <c r="I24">
        <v>2267</v>
      </c>
      <c r="J24">
        <v>2806</v>
      </c>
      <c r="K24">
        <v>3056</v>
      </c>
    </row>
    <row r="25" spans="1:11" s="5" customFormat="1" x14ac:dyDescent="0.3">
      <c r="A25" s="5" t="s">
        <v>4</v>
      </c>
      <c r="B25">
        <v>486</v>
      </c>
      <c r="C25">
        <v>606</v>
      </c>
      <c r="D25">
        <v>353</v>
      </c>
      <c r="E25">
        <v>322</v>
      </c>
      <c r="F25">
        <v>424</v>
      </c>
      <c r="G25">
        <v>170</v>
      </c>
      <c r="H25">
        <v>219</v>
      </c>
      <c r="I25">
        <v>448</v>
      </c>
      <c r="J25">
        <v>817</v>
      </c>
      <c r="K25">
        <v>1322</v>
      </c>
    </row>
    <row r="26" spans="1:11" s="5" customFormat="1" x14ac:dyDescent="0.3">
      <c r="A26" s="5" t="s">
        <v>5</v>
      </c>
      <c r="B26">
        <v>353</v>
      </c>
      <c r="C26">
        <v>432</v>
      </c>
      <c r="D26">
        <v>520</v>
      </c>
      <c r="E26">
        <v>565</v>
      </c>
      <c r="F26">
        <v>1002</v>
      </c>
      <c r="G26">
        <v>1074</v>
      </c>
      <c r="H26">
        <v>1091</v>
      </c>
      <c r="I26">
        <v>1137</v>
      </c>
      <c r="J26">
        <v>1216</v>
      </c>
      <c r="K26">
        <v>1355</v>
      </c>
    </row>
    <row r="27" spans="1:11" s="5" customFormat="1" x14ac:dyDescent="0.3">
      <c r="A27" s="5" t="s">
        <v>6</v>
      </c>
      <c r="B27">
        <v>17</v>
      </c>
      <c r="C27">
        <v>35</v>
      </c>
      <c r="D27">
        <v>26</v>
      </c>
      <c r="E27">
        <v>33</v>
      </c>
      <c r="F27">
        <v>118</v>
      </c>
      <c r="G27">
        <v>117</v>
      </c>
      <c r="H27">
        <v>106</v>
      </c>
      <c r="I27">
        <v>114</v>
      </c>
      <c r="J27">
        <v>334</v>
      </c>
      <c r="K27">
        <v>395</v>
      </c>
    </row>
    <row r="28" spans="1:11" s="5" customFormat="1" x14ac:dyDescent="0.3">
      <c r="A28" s="5" t="s">
        <v>7</v>
      </c>
      <c r="B28">
        <v>6026</v>
      </c>
      <c r="C28">
        <v>6467</v>
      </c>
      <c r="D28">
        <v>7306</v>
      </c>
      <c r="E28">
        <v>8604</v>
      </c>
      <c r="F28">
        <v>9165</v>
      </c>
      <c r="G28">
        <v>10605</v>
      </c>
      <c r="H28">
        <v>11879</v>
      </c>
      <c r="I28">
        <v>13344</v>
      </c>
      <c r="J28">
        <v>13926</v>
      </c>
      <c r="K28">
        <v>14415</v>
      </c>
    </row>
    <row r="29" spans="1:11" s="5" customFormat="1" x14ac:dyDescent="0.3">
      <c r="A29" s="5" t="s">
        <v>8</v>
      </c>
      <c r="B29">
        <v>1875</v>
      </c>
      <c r="C29">
        <v>1977</v>
      </c>
      <c r="D29">
        <v>2079</v>
      </c>
      <c r="E29">
        <v>2544</v>
      </c>
      <c r="F29">
        <v>2409</v>
      </c>
      <c r="G29">
        <v>2606</v>
      </c>
      <c r="H29">
        <v>2987</v>
      </c>
      <c r="I29">
        <v>3201</v>
      </c>
      <c r="J29">
        <v>3644</v>
      </c>
      <c r="K29">
        <v>3744</v>
      </c>
    </row>
    <row r="30" spans="1:11" s="5" customFormat="1" x14ac:dyDescent="0.3">
      <c r="A30" s="5" t="s">
        <v>9</v>
      </c>
      <c r="B30">
        <v>4151</v>
      </c>
      <c r="C30">
        <v>4476</v>
      </c>
      <c r="D30">
        <v>5214</v>
      </c>
      <c r="E30">
        <v>6054</v>
      </c>
      <c r="F30">
        <v>6748</v>
      </c>
      <c r="G30">
        <v>7995</v>
      </c>
      <c r="H30">
        <v>8879</v>
      </c>
      <c r="I30">
        <v>10120</v>
      </c>
      <c r="J30">
        <v>10277</v>
      </c>
      <c r="K30">
        <v>10649</v>
      </c>
    </row>
    <row r="31" spans="1:11" s="5" customFormat="1" x14ac:dyDescent="0.3">
      <c r="A31" s="5" t="s">
        <v>36</v>
      </c>
      <c r="B31">
        <v>3456</v>
      </c>
      <c r="C31">
        <v>3672</v>
      </c>
      <c r="D31">
        <v>4320</v>
      </c>
      <c r="E31">
        <v>4752</v>
      </c>
      <c r="F31">
        <v>5400</v>
      </c>
      <c r="G31">
        <v>9517.5</v>
      </c>
      <c r="H31">
        <v>7990</v>
      </c>
      <c r="I31">
        <v>9165</v>
      </c>
      <c r="J31">
        <v>9870</v>
      </c>
      <c r="K31">
        <v>12455</v>
      </c>
    </row>
    <row r="32" spans="1:11" s="5" customFormat="1" x14ac:dyDescent="0.3"/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5"/>
    </row>
    <row r="39" spans="1:11" x14ac:dyDescent="0.3">
      <c r="A39" s="5"/>
    </row>
    <row r="40" spans="1:11" x14ac:dyDescent="0.3">
      <c r="A40" s="1" t="s">
        <v>25</v>
      </c>
    </row>
    <row r="41" spans="1:11" s="8" customFormat="1" x14ac:dyDescent="0.3">
      <c r="A41" s="7" t="s">
        <v>24</v>
      </c>
      <c r="B41" s="6">
        <v>45199</v>
      </c>
      <c r="C41" s="6">
        <v>45291</v>
      </c>
      <c r="D41" s="6">
        <v>45382</v>
      </c>
      <c r="E41" s="6">
        <v>45473</v>
      </c>
      <c r="F41" s="6">
        <v>45565</v>
      </c>
      <c r="G41" s="6">
        <v>45657</v>
      </c>
      <c r="H41" s="6">
        <v>45747</v>
      </c>
      <c r="I41" s="6">
        <v>45838</v>
      </c>
      <c r="J41" s="6">
        <v>45930</v>
      </c>
      <c r="K41" s="6">
        <v>46022</v>
      </c>
    </row>
    <row r="42" spans="1:11" s="5" customFormat="1" x14ac:dyDescent="0.3">
      <c r="A42" s="5" t="s">
        <v>1</v>
      </c>
      <c r="B42">
        <v>15623</v>
      </c>
      <c r="C42">
        <v>15567</v>
      </c>
      <c r="D42">
        <v>15210</v>
      </c>
      <c r="E42">
        <v>15707</v>
      </c>
      <c r="F42">
        <v>15926</v>
      </c>
      <c r="G42">
        <v>15556</v>
      </c>
      <c r="H42">
        <v>15670</v>
      </c>
      <c r="I42">
        <v>16514</v>
      </c>
      <c r="J42">
        <v>15919</v>
      </c>
      <c r="K42">
        <v>16441</v>
      </c>
    </row>
    <row r="43" spans="1:11" s="5" customFormat="1" x14ac:dyDescent="0.3">
      <c r="A43" s="5" t="s">
        <v>2</v>
      </c>
      <c r="B43">
        <v>11828</v>
      </c>
      <c r="C43">
        <v>11902</v>
      </c>
      <c r="D43">
        <v>11675</v>
      </c>
      <c r="E43">
        <v>11965</v>
      </c>
      <c r="F43">
        <v>12139</v>
      </c>
      <c r="G43">
        <v>11867</v>
      </c>
      <c r="H43">
        <v>12052</v>
      </c>
      <c r="I43">
        <v>12797</v>
      </c>
      <c r="J43">
        <v>12137</v>
      </c>
      <c r="K43">
        <v>12660</v>
      </c>
    </row>
    <row r="44" spans="1:11" s="5" customFormat="1" x14ac:dyDescent="0.3">
      <c r="A44" s="5" t="s">
        <v>4</v>
      </c>
      <c r="B44">
        <v>178</v>
      </c>
      <c r="C44">
        <v>184</v>
      </c>
      <c r="D44">
        <v>309</v>
      </c>
      <c r="E44">
        <v>209</v>
      </c>
      <c r="F44">
        <v>203</v>
      </c>
      <c r="G44">
        <v>733</v>
      </c>
      <c r="H44">
        <v>171</v>
      </c>
      <c r="I44">
        <v>74</v>
      </c>
      <c r="J44">
        <v>269</v>
      </c>
      <c r="K44">
        <v>4048</v>
      </c>
    </row>
    <row r="45" spans="1:11" s="5" customFormat="1" x14ac:dyDescent="0.3">
      <c r="A45" s="5" t="s">
        <v>5</v>
      </c>
      <c r="B45">
        <v>297</v>
      </c>
      <c r="C45">
        <v>313</v>
      </c>
      <c r="D45">
        <v>320</v>
      </c>
      <c r="E45">
        <v>329</v>
      </c>
      <c r="F45">
        <v>338</v>
      </c>
      <c r="G45">
        <v>318</v>
      </c>
      <c r="H45">
        <v>347</v>
      </c>
      <c r="I45">
        <v>361</v>
      </c>
      <c r="J45">
        <v>322</v>
      </c>
      <c r="K45">
        <v>337</v>
      </c>
    </row>
    <row r="46" spans="1:11" s="5" customFormat="1" x14ac:dyDescent="0.3">
      <c r="A46" s="5" t="s">
        <v>6</v>
      </c>
      <c r="B46">
        <v>88</v>
      </c>
      <c r="C46">
        <v>91</v>
      </c>
      <c r="D46">
        <v>105</v>
      </c>
      <c r="E46">
        <v>93</v>
      </c>
      <c r="F46">
        <v>110</v>
      </c>
      <c r="G46">
        <v>109</v>
      </c>
      <c r="H46">
        <v>80</v>
      </c>
      <c r="I46">
        <v>127</v>
      </c>
      <c r="J46">
        <v>124</v>
      </c>
      <c r="K46">
        <v>88</v>
      </c>
    </row>
    <row r="47" spans="1:11" s="5" customFormat="1" x14ac:dyDescent="0.3">
      <c r="A47" s="5" t="s">
        <v>7</v>
      </c>
      <c r="B47">
        <v>3588</v>
      </c>
      <c r="C47">
        <v>3445</v>
      </c>
      <c r="D47">
        <v>3419</v>
      </c>
      <c r="E47">
        <v>3529</v>
      </c>
      <c r="F47">
        <v>3542</v>
      </c>
      <c r="G47">
        <v>3995</v>
      </c>
      <c r="H47">
        <v>3362</v>
      </c>
      <c r="I47">
        <v>3303</v>
      </c>
      <c r="J47">
        <v>3605</v>
      </c>
      <c r="K47">
        <v>7404</v>
      </c>
    </row>
    <row r="48" spans="1:11" s="5" customFormat="1" x14ac:dyDescent="0.3">
      <c r="A48" s="5" t="s">
        <v>8</v>
      </c>
      <c r="B48">
        <v>931</v>
      </c>
      <c r="C48">
        <v>937</v>
      </c>
      <c r="D48">
        <v>858</v>
      </c>
      <c r="E48">
        <v>917</v>
      </c>
      <c r="F48">
        <v>947</v>
      </c>
      <c r="G48">
        <v>1006</v>
      </c>
      <c r="H48">
        <v>887</v>
      </c>
      <c r="I48">
        <v>535</v>
      </c>
      <c r="J48">
        <v>911</v>
      </c>
      <c r="K48">
        <v>801</v>
      </c>
    </row>
    <row r="49" spans="1:11" s="5" customFormat="1" x14ac:dyDescent="0.3">
      <c r="A49" s="5" t="s">
        <v>9</v>
      </c>
      <c r="B49">
        <v>2656</v>
      </c>
      <c r="C49">
        <v>2509</v>
      </c>
      <c r="D49">
        <v>2558</v>
      </c>
      <c r="E49">
        <v>2610</v>
      </c>
      <c r="F49">
        <v>2591</v>
      </c>
      <c r="G49">
        <v>2984</v>
      </c>
      <c r="H49">
        <v>2464</v>
      </c>
      <c r="I49">
        <v>2756</v>
      </c>
      <c r="J49">
        <v>2685</v>
      </c>
      <c r="K49">
        <v>6607</v>
      </c>
    </row>
    <row r="50" spans="1:11" x14ac:dyDescent="0.3">
      <c r="A50" s="5" t="s">
        <v>3</v>
      </c>
      <c r="B50">
        <v>3795</v>
      </c>
      <c r="C50">
        <v>3665</v>
      </c>
      <c r="D50">
        <v>3535</v>
      </c>
      <c r="E50">
        <v>3742</v>
      </c>
      <c r="F50">
        <v>3787</v>
      </c>
      <c r="G50">
        <v>3689</v>
      </c>
      <c r="H50">
        <v>3618</v>
      </c>
      <c r="I50">
        <v>3717</v>
      </c>
      <c r="J50">
        <v>3782</v>
      </c>
      <c r="K50">
        <v>3781</v>
      </c>
    </row>
    <row r="51" spans="1:11" x14ac:dyDescent="0.3">
      <c r="A51" s="5"/>
    </row>
    <row r="52" spans="1:11" x14ac:dyDescent="0.3">
      <c r="A52" s="5"/>
    </row>
    <row r="53" spans="1:11" x14ac:dyDescent="0.3">
      <c r="A53" s="5"/>
    </row>
    <row r="54" spans="1:11" x14ac:dyDescent="0.3">
      <c r="A54" s="5"/>
    </row>
    <row r="55" spans="1:11" x14ac:dyDescent="0.3">
      <c r="A55" s="1" t="s">
        <v>26</v>
      </c>
    </row>
    <row r="56" spans="1:11" s="8" customFormat="1" x14ac:dyDescent="0.3">
      <c r="A56" s="7" t="s">
        <v>24</v>
      </c>
      <c r="B56" s="6">
        <v>42460</v>
      </c>
      <c r="C56" s="6">
        <v>42825</v>
      </c>
      <c r="D56" s="6">
        <v>43190</v>
      </c>
      <c r="E56" s="6">
        <v>43555</v>
      </c>
      <c r="F56" s="6">
        <v>43921</v>
      </c>
      <c r="G56" s="6">
        <v>44286</v>
      </c>
      <c r="H56" s="6">
        <v>44651</v>
      </c>
      <c r="I56" s="6">
        <v>45016</v>
      </c>
      <c r="J56" s="6">
        <v>45382</v>
      </c>
      <c r="K56" s="6">
        <v>45747</v>
      </c>
    </row>
    <row r="57" spans="1:11" x14ac:dyDescent="0.3">
      <c r="A57" s="5" t="s">
        <v>11</v>
      </c>
      <c r="B57">
        <v>216</v>
      </c>
      <c r="C57">
        <v>216</v>
      </c>
      <c r="D57">
        <v>216</v>
      </c>
      <c r="E57">
        <v>216</v>
      </c>
      <c r="F57">
        <v>216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3">
      <c r="A58" s="5" t="s">
        <v>12</v>
      </c>
      <c r="B58">
        <v>6357</v>
      </c>
      <c r="C58">
        <v>6528</v>
      </c>
      <c r="D58">
        <v>7065</v>
      </c>
      <c r="E58">
        <v>7651</v>
      </c>
      <c r="F58">
        <v>8013</v>
      </c>
      <c r="G58">
        <v>47439</v>
      </c>
      <c r="H58">
        <v>48826</v>
      </c>
      <c r="I58">
        <v>50069</v>
      </c>
      <c r="J58">
        <v>50983</v>
      </c>
      <c r="K58">
        <v>49167</v>
      </c>
    </row>
    <row r="59" spans="1:11" x14ac:dyDescent="0.3">
      <c r="A59" s="5" t="s">
        <v>37</v>
      </c>
      <c r="B59">
        <v>177</v>
      </c>
      <c r="C59">
        <v>277</v>
      </c>
      <c r="D59"/>
      <c r="E59">
        <v>99</v>
      </c>
      <c r="F59"/>
      <c r="G59"/>
      <c r="H59">
        <v>1043</v>
      </c>
      <c r="I59">
        <v>1219</v>
      </c>
      <c r="J59">
        <v>1484</v>
      </c>
      <c r="K59">
        <v>1648</v>
      </c>
    </row>
    <row r="60" spans="1:11" x14ac:dyDescent="0.3">
      <c r="A60" s="5" t="s">
        <v>38</v>
      </c>
      <c r="B60">
        <v>8043</v>
      </c>
      <c r="C60">
        <v>8685</v>
      </c>
      <c r="D60">
        <v>10581</v>
      </c>
      <c r="E60">
        <v>10663</v>
      </c>
      <c r="F60">
        <v>11924</v>
      </c>
      <c r="G60">
        <v>21066</v>
      </c>
      <c r="H60">
        <v>20402</v>
      </c>
      <c r="I60">
        <v>21554</v>
      </c>
      <c r="J60">
        <v>25787</v>
      </c>
      <c r="K60">
        <v>28813</v>
      </c>
    </row>
    <row r="61" spans="1:11" s="1" customFormat="1" x14ac:dyDescent="0.3">
      <c r="A61" s="1" t="s">
        <v>13</v>
      </c>
      <c r="B61">
        <v>14793</v>
      </c>
      <c r="C61">
        <v>15706</v>
      </c>
      <c r="D61">
        <v>17862</v>
      </c>
      <c r="E61">
        <v>18629</v>
      </c>
      <c r="F61">
        <v>20153</v>
      </c>
      <c r="G61">
        <v>68740</v>
      </c>
      <c r="H61">
        <v>70506</v>
      </c>
      <c r="I61">
        <v>73077</v>
      </c>
      <c r="J61">
        <v>78489</v>
      </c>
      <c r="K61">
        <v>79863</v>
      </c>
    </row>
    <row r="62" spans="1:11" x14ac:dyDescent="0.3">
      <c r="A62" s="5" t="s">
        <v>14</v>
      </c>
      <c r="B62">
        <v>3258</v>
      </c>
      <c r="C62">
        <v>4419</v>
      </c>
      <c r="D62">
        <v>4528</v>
      </c>
      <c r="E62">
        <v>4715</v>
      </c>
      <c r="F62">
        <v>5479</v>
      </c>
      <c r="G62">
        <v>51443</v>
      </c>
      <c r="H62">
        <v>51473</v>
      </c>
      <c r="I62">
        <v>52678</v>
      </c>
      <c r="J62">
        <v>53744</v>
      </c>
      <c r="K62">
        <v>54335</v>
      </c>
    </row>
    <row r="63" spans="1:11" x14ac:dyDescent="0.3">
      <c r="A63" s="5" t="s">
        <v>15</v>
      </c>
      <c r="B63">
        <v>408</v>
      </c>
      <c r="C63">
        <v>229</v>
      </c>
      <c r="D63">
        <v>461</v>
      </c>
      <c r="E63">
        <v>406</v>
      </c>
      <c r="F63">
        <v>597</v>
      </c>
      <c r="G63">
        <v>745</v>
      </c>
      <c r="H63">
        <v>1313</v>
      </c>
      <c r="I63">
        <v>1132</v>
      </c>
      <c r="J63">
        <v>1025</v>
      </c>
      <c r="K63">
        <v>1009</v>
      </c>
    </row>
    <row r="64" spans="1:11" x14ac:dyDescent="0.3">
      <c r="A64" s="5" t="s">
        <v>16</v>
      </c>
      <c r="B64">
        <v>2592</v>
      </c>
      <c r="C64">
        <v>3794</v>
      </c>
      <c r="D64">
        <v>2873</v>
      </c>
      <c r="E64">
        <v>2716</v>
      </c>
      <c r="F64">
        <v>1255</v>
      </c>
      <c r="G64">
        <v>2709</v>
      </c>
      <c r="H64">
        <v>3521</v>
      </c>
      <c r="I64">
        <v>2882</v>
      </c>
      <c r="J64">
        <v>4625</v>
      </c>
      <c r="K64">
        <v>3810</v>
      </c>
    </row>
    <row r="65" spans="1:11" x14ac:dyDescent="0.3">
      <c r="A65" s="5" t="s">
        <v>39</v>
      </c>
      <c r="B65">
        <v>8535</v>
      </c>
      <c r="C65">
        <v>7264</v>
      </c>
      <c r="D65">
        <v>10000</v>
      </c>
      <c r="E65">
        <v>10792</v>
      </c>
      <c r="F65">
        <v>12822</v>
      </c>
      <c r="G65">
        <v>13843</v>
      </c>
      <c r="H65">
        <v>14199</v>
      </c>
      <c r="I65">
        <v>16385</v>
      </c>
      <c r="J65">
        <v>19095</v>
      </c>
      <c r="K65">
        <v>20709</v>
      </c>
    </row>
    <row r="66" spans="1:11" s="1" customFormat="1" x14ac:dyDescent="0.3">
      <c r="A66" s="1" t="s">
        <v>13</v>
      </c>
      <c r="B66">
        <v>14793</v>
      </c>
      <c r="C66">
        <v>15706</v>
      </c>
      <c r="D66">
        <v>17862</v>
      </c>
      <c r="E66">
        <v>18629</v>
      </c>
      <c r="F66">
        <v>20153</v>
      </c>
      <c r="G66">
        <v>68740</v>
      </c>
      <c r="H66">
        <v>70506</v>
      </c>
      <c r="I66">
        <v>73077</v>
      </c>
      <c r="J66">
        <v>78489</v>
      </c>
      <c r="K66">
        <v>79863</v>
      </c>
    </row>
    <row r="67" spans="1:11" s="5" customFormat="1" x14ac:dyDescent="0.3">
      <c r="A67" s="5" t="s">
        <v>44</v>
      </c>
      <c r="B67">
        <v>1264</v>
      </c>
      <c r="C67">
        <v>1085</v>
      </c>
      <c r="D67">
        <v>1310</v>
      </c>
      <c r="E67">
        <v>1816</v>
      </c>
      <c r="F67">
        <v>1149</v>
      </c>
      <c r="G67">
        <v>1758</v>
      </c>
      <c r="H67">
        <v>2236</v>
      </c>
      <c r="I67">
        <v>3079</v>
      </c>
      <c r="J67">
        <v>2997</v>
      </c>
      <c r="K67">
        <v>3819</v>
      </c>
    </row>
    <row r="68" spans="1:11" x14ac:dyDescent="0.3">
      <c r="A68" s="5" t="s">
        <v>30</v>
      </c>
      <c r="B68">
        <v>2726</v>
      </c>
      <c r="C68">
        <v>2541</v>
      </c>
      <c r="D68">
        <v>2513</v>
      </c>
      <c r="E68">
        <v>2574</v>
      </c>
      <c r="F68">
        <v>2767</v>
      </c>
      <c r="G68">
        <v>3579</v>
      </c>
      <c r="H68">
        <v>4096</v>
      </c>
      <c r="I68">
        <v>4251</v>
      </c>
      <c r="J68">
        <v>4022</v>
      </c>
      <c r="K68">
        <v>4415</v>
      </c>
    </row>
    <row r="69" spans="1:11" x14ac:dyDescent="0.3">
      <c r="A69" s="3" t="s">
        <v>53</v>
      </c>
      <c r="B69">
        <v>3009</v>
      </c>
      <c r="C69">
        <v>1828</v>
      </c>
      <c r="D69">
        <v>3485</v>
      </c>
      <c r="E69">
        <v>3757</v>
      </c>
      <c r="F69">
        <v>5113</v>
      </c>
      <c r="G69">
        <v>4471</v>
      </c>
      <c r="H69">
        <v>3846</v>
      </c>
      <c r="I69">
        <v>4678</v>
      </c>
      <c r="J69">
        <v>7559</v>
      </c>
      <c r="K69">
        <v>7554</v>
      </c>
    </row>
    <row r="70" spans="1:11" x14ac:dyDescent="0.3">
      <c r="A70" s="3" t="s">
        <v>40</v>
      </c>
      <c r="B70">
        <v>2163936971</v>
      </c>
      <c r="C70">
        <v>2164349639</v>
      </c>
      <c r="D70">
        <v>2164528777</v>
      </c>
      <c r="E70">
        <v>2164704405</v>
      </c>
      <c r="F70">
        <v>2164704405</v>
      </c>
      <c r="G70">
        <v>2349567819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3">
      <c r="A71" s="3" t="s">
        <v>41</v>
      </c>
    </row>
    <row r="72" spans="1:11" x14ac:dyDescent="0.3">
      <c r="A72" s="3" t="s">
        <v>54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5"/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5"/>
    </row>
    <row r="79" spans="1:11" x14ac:dyDescent="0.3">
      <c r="A79" s="5"/>
    </row>
    <row r="80" spans="1:11" x14ac:dyDescent="0.3">
      <c r="A80" s="1" t="s">
        <v>27</v>
      </c>
    </row>
    <row r="81" spans="1:11" s="8" customFormat="1" x14ac:dyDescent="0.3">
      <c r="A81" s="7" t="s">
        <v>24</v>
      </c>
      <c r="B81" s="6">
        <v>42460</v>
      </c>
      <c r="C81" s="6">
        <v>42825</v>
      </c>
      <c r="D81" s="6">
        <v>43190</v>
      </c>
      <c r="E81" s="6">
        <v>43555</v>
      </c>
      <c r="F81" s="6">
        <v>43921</v>
      </c>
      <c r="G81" s="6">
        <v>44286</v>
      </c>
      <c r="H81" s="6">
        <v>44651</v>
      </c>
      <c r="I81" s="6">
        <v>45016</v>
      </c>
      <c r="J81" s="6">
        <v>45382</v>
      </c>
      <c r="K81" s="6">
        <v>45747</v>
      </c>
    </row>
    <row r="82" spans="1:11" s="1" customFormat="1" x14ac:dyDescent="0.3">
      <c r="A82" s="5" t="s">
        <v>18</v>
      </c>
      <c r="B82">
        <v>4171</v>
      </c>
      <c r="C82">
        <v>5185</v>
      </c>
      <c r="D82">
        <v>6059</v>
      </c>
      <c r="E82">
        <v>5800</v>
      </c>
      <c r="F82">
        <v>7623</v>
      </c>
      <c r="G82">
        <v>9163</v>
      </c>
      <c r="H82">
        <v>9048</v>
      </c>
      <c r="I82">
        <v>9991</v>
      </c>
      <c r="J82">
        <v>15469</v>
      </c>
      <c r="K82">
        <v>11886</v>
      </c>
    </row>
    <row r="83" spans="1:11" s="5" customFormat="1" x14ac:dyDescent="0.3">
      <c r="A83" s="5" t="s">
        <v>19</v>
      </c>
      <c r="B83">
        <v>-282</v>
      </c>
      <c r="C83">
        <v>-1173</v>
      </c>
      <c r="D83">
        <v>-1063</v>
      </c>
      <c r="E83">
        <v>-438</v>
      </c>
      <c r="F83">
        <v>1791</v>
      </c>
      <c r="G83">
        <v>-1228</v>
      </c>
      <c r="H83">
        <v>-1728</v>
      </c>
      <c r="I83">
        <v>-1484</v>
      </c>
      <c r="J83">
        <v>-5324</v>
      </c>
      <c r="K83">
        <v>6473</v>
      </c>
    </row>
    <row r="84" spans="1:11" s="5" customFormat="1" x14ac:dyDescent="0.3">
      <c r="A84" s="5" t="s">
        <v>20</v>
      </c>
      <c r="B84">
        <v>-3864</v>
      </c>
      <c r="C84">
        <v>-4214</v>
      </c>
      <c r="D84">
        <v>-4975</v>
      </c>
      <c r="E84">
        <v>-5390</v>
      </c>
      <c r="F84">
        <v>-6819</v>
      </c>
      <c r="G84">
        <v>-9309</v>
      </c>
      <c r="H84">
        <v>-8015</v>
      </c>
      <c r="I84">
        <v>-8953</v>
      </c>
      <c r="J84">
        <v>-10034</v>
      </c>
      <c r="K84">
        <v>-13101</v>
      </c>
    </row>
    <row r="85" spans="1:11" s="1" customFormat="1" x14ac:dyDescent="0.3">
      <c r="A85" s="5" t="s">
        <v>21</v>
      </c>
      <c r="B85">
        <v>25</v>
      </c>
      <c r="C85">
        <v>-202</v>
      </c>
      <c r="D85">
        <v>21</v>
      </c>
      <c r="E85">
        <v>-28</v>
      </c>
      <c r="F85">
        <v>2595</v>
      </c>
      <c r="G85">
        <v>-1374</v>
      </c>
      <c r="H85">
        <v>-695</v>
      </c>
      <c r="I85">
        <v>-446</v>
      </c>
      <c r="J85">
        <v>111</v>
      </c>
      <c r="K85">
        <v>5258</v>
      </c>
    </row>
    <row r="86" spans="1:11" x14ac:dyDescent="0.3">
      <c r="A86" s="5"/>
    </row>
    <row r="87" spans="1:11" x14ac:dyDescent="0.3">
      <c r="A87" s="5"/>
    </row>
    <row r="88" spans="1:11" x14ac:dyDescent="0.3">
      <c r="A88" s="5"/>
    </row>
    <row r="89" spans="1:11" x14ac:dyDescent="0.3">
      <c r="A89" s="5"/>
    </row>
    <row r="90" spans="1:11" s="1" customFormat="1" x14ac:dyDescent="0.3">
      <c r="A90" s="1" t="s">
        <v>43</v>
      </c>
      <c r="B90">
        <v>832.17</v>
      </c>
      <c r="C90">
        <v>872.61</v>
      </c>
      <c r="D90">
        <v>1276.1099999999999</v>
      </c>
      <c r="E90">
        <v>1633.53</v>
      </c>
      <c r="F90">
        <v>2199.83</v>
      </c>
      <c r="G90">
        <v>2327.12</v>
      </c>
      <c r="H90">
        <v>1960.7</v>
      </c>
      <c r="I90">
        <v>2450.44</v>
      </c>
      <c r="J90">
        <v>2167.14</v>
      </c>
      <c r="K90">
        <v>2161.88</v>
      </c>
    </row>
    <row r="92" spans="1:11" s="1" customFormat="1" x14ac:dyDescent="0.3">
      <c r="A92" s="1" t="s">
        <v>42</v>
      </c>
    </row>
    <row r="93" spans="1:11" x14ac:dyDescent="0.3">
      <c r="A93" s="3" t="s">
        <v>55</v>
      </c>
      <c r="B93" s="9">
        <v>216.39</v>
      </c>
      <c r="C93" s="9">
        <v>216.43</v>
      </c>
      <c r="D93" s="9">
        <v>216.45</v>
      </c>
      <c r="E93" s="9">
        <v>216.47</v>
      </c>
      <c r="F93" s="9">
        <v>216.48</v>
      </c>
      <c r="G93" s="9">
        <v>234.96</v>
      </c>
      <c r="H93" s="9">
        <v>234.96</v>
      </c>
      <c r="I93" s="9">
        <v>234.96</v>
      </c>
      <c r="J93" s="9">
        <v>234.96</v>
      </c>
      <c r="K93" s="9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72C8-3838-4F75-9BDA-8867AB874854}">
  <dimension ref="B2:O45"/>
  <sheetViews>
    <sheetView showGridLines="0" workbookViewId="0">
      <pane ySplit="4" topLeftCell="A5" activePane="bottomLeft" state="frozen"/>
      <selection pane="bottomLeft" activeCell="C31" sqref="C31"/>
    </sheetView>
  </sheetViews>
  <sheetFormatPr defaultRowHeight="14.4" x14ac:dyDescent="0.3"/>
  <cols>
    <col min="1" max="1" width="1.88671875" customWidth="1"/>
    <col min="2" max="2" width="22.77734375" style="74" bestFit="1" customWidth="1"/>
    <col min="3" max="14" width="9" style="45" bestFit="1" customWidth="1"/>
  </cols>
  <sheetData>
    <row r="2" spans="2:15" x14ac:dyDescent="0.3">
      <c r="B2" s="75"/>
    </row>
    <row r="4" spans="2:15" x14ac:dyDescent="0.3">
      <c r="B4" s="170" t="s">
        <v>265</v>
      </c>
      <c r="C4" s="171">
        <v>41699</v>
      </c>
      <c r="D4" s="171">
        <v>42064</v>
      </c>
      <c r="E4" s="171">
        <v>42430</v>
      </c>
      <c r="F4" s="171">
        <v>42795</v>
      </c>
      <c r="G4" s="171">
        <v>43160</v>
      </c>
      <c r="H4" s="171">
        <v>43525</v>
      </c>
      <c r="I4" s="171">
        <v>43891</v>
      </c>
      <c r="J4" s="171">
        <v>44256</v>
      </c>
      <c r="K4" s="171">
        <v>44621</v>
      </c>
      <c r="L4" s="171">
        <v>44986</v>
      </c>
      <c r="M4" s="171">
        <v>45352</v>
      </c>
      <c r="N4" s="171">
        <v>45717</v>
      </c>
    </row>
    <row r="5" spans="2:15" x14ac:dyDescent="0.3">
      <c r="B5"/>
      <c r="C5"/>
      <c r="D5"/>
      <c r="E5"/>
      <c r="F5"/>
      <c r="G5"/>
      <c r="H5"/>
      <c r="I5"/>
      <c r="J5"/>
      <c r="K5"/>
      <c r="L5"/>
      <c r="M5"/>
      <c r="N5"/>
    </row>
    <row r="6" spans="2:15" x14ac:dyDescent="0.3">
      <c r="B6" s="75" t="s">
        <v>233</v>
      </c>
      <c r="C6" s="104">
        <v>216</v>
      </c>
      <c r="D6" s="104">
        <v>216</v>
      </c>
      <c r="E6" s="104">
        <v>216</v>
      </c>
      <c r="F6" s="104">
        <v>216</v>
      </c>
      <c r="G6" s="104">
        <v>216</v>
      </c>
      <c r="H6" s="104">
        <v>216</v>
      </c>
      <c r="I6" s="104">
        <v>216</v>
      </c>
      <c r="J6" s="104">
        <v>235</v>
      </c>
      <c r="K6" s="104">
        <v>235</v>
      </c>
      <c r="L6" s="104">
        <v>235</v>
      </c>
      <c r="M6" s="104">
        <v>235</v>
      </c>
      <c r="N6" s="104">
        <v>235</v>
      </c>
    </row>
    <row r="7" spans="2:15" x14ac:dyDescent="0.3">
      <c r="B7" s="75" t="s">
        <v>12</v>
      </c>
      <c r="C7" s="104">
        <v>3321</v>
      </c>
      <c r="D7" s="104">
        <v>3811</v>
      </c>
      <c r="E7" s="104">
        <v>6357</v>
      </c>
      <c r="F7" s="104">
        <v>6528</v>
      </c>
      <c r="G7" s="104">
        <v>7065</v>
      </c>
      <c r="H7" s="104">
        <v>7651</v>
      </c>
      <c r="I7" s="104">
        <v>8013</v>
      </c>
      <c r="J7" s="104">
        <v>47439</v>
      </c>
      <c r="K7" s="104">
        <v>48826</v>
      </c>
      <c r="L7" s="104">
        <v>50069</v>
      </c>
      <c r="M7" s="104">
        <v>50983</v>
      </c>
      <c r="N7" s="104">
        <v>49167</v>
      </c>
    </row>
    <row r="8" spans="2:15" x14ac:dyDescent="0.3">
      <c r="B8" s="75" t="s">
        <v>234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</row>
    <row r="9" spans="2:15" x14ac:dyDescent="0.3">
      <c r="B9" s="74" t="s">
        <v>235</v>
      </c>
      <c r="C9" s="104">
        <v>8</v>
      </c>
      <c r="D9" s="104">
        <v>7</v>
      </c>
      <c r="E9" s="104">
        <v>0</v>
      </c>
      <c r="F9" s="104">
        <v>0</v>
      </c>
      <c r="G9" s="104">
        <v>0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4">
        <v>0</v>
      </c>
    </row>
    <row r="10" spans="2:15" x14ac:dyDescent="0.3">
      <c r="B10" s="74" t="s">
        <v>236</v>
      </c>
      <c r="C10" s="104">
        <v>37</v>
      </c>
      <c r="D10" s="104">
        <v>36</v>
      </c>
      <c r="E10" s="104">
        <v>177</v>
      </c>
      <c r="F10" s="104">
        <v>277</v>
      </c>
      <c r="G10" s="104">
        <v>0</v>
      </c>
      <c r="H10" s="104">
        <v>99</v>
      </c>
      <c r="I10" s="104">
        <v>0</v>
      </c>
      <c r="J10" s="104">
        <v>0</v>
      </c>
      <c r="K10" s="104">
        <v>0</v>
      </c>
      <c r="L10" s="104">
        <v>98</v>
      </c>
      <c r="M10" s="104">
        <v>13</v>
      </c>
      <c r="N10" s="104">
        <v>1</v>
      </c>
    </row>
    <row r="11" spans="2:15" x14ac:dyDescent="0.3">
      <c r="B11" s="74" t="s">
        <v>237</v>
      </c>
      <c r="C11" s="104">
        <v>0</v>
      </c>
      <c r="D11" s="104">
        <v>0</v>
      </c>
      <c r="E11" s="104">
        <v>0</v>
      </c>
      <c r="F11" s="104">
        <v>0</v>
      </c>
      <c r="G11" s="104">
        <v>0</v>
      </c>
      <c r="H11" s="104">
        <v>0</v>
      </c>
      <c r="I11" s="104">
        <v>0</v>
      </c>
      <c r="J11" s="104">
        <v>0</v>
      </c>
      <c r="K11" s="104">
        <v>1043</v>
      </c>
      <c r="L11" s="104">
        <v>1121</v>
      </c>
      <c r="M11" s="104">
        <v>1471</v>
      </c>
      <c r="N11" s="104">
        <v>1647</v>
      </c>
      <c r="O11" s="128"/>
    </row>
    <row r="12" spans="2:15" x14ac:dyDescent="0.3">
      <c r="B12" s="74" t="s">
        <v>238</v>
      </c>
      <c r="C12" s="104">
        <v>0</v>
      </c>
      <c r="D12" s="104">
        <v>0</v>
      </c>
      <c r="E12" s="104">
        <v>0</v>
      </c>
      <c r="F12" s="104">
        <v>0</v>
      </c>
      <c r="G12" s="104">
        <v>0</v>
      </c>
      <c r="H12" s="104">
        <v>0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4">
        <v>0</v>
      </c>
    </row>
    <row r="13" spans="2:15" x14ac:dyDescent="0.3">
      <c r="B13" s="74" t="s">
        <v>239</v>
      </c>
      <c r="C13" s="104">
        <v>0</v>
      </c>
      <c r="D13" s="104">
        <v>0</v>
      </c>
      <c r="E13" s="104">
        <v>0</v>
      </c>
      <c r="F13" s="104">
        <v>0</v>
      </c>
      <c r="G13" s="104">
        <v>0</v>
      </c>
      <c r="H13" s="104">
        <v>0</v>
      </c>
      <c r="I13" s="104">
        <v>0</v>
      </c>
      <c r="J13" s="104">
        <v>0</v>
      </c>
      <c r="K13" s="104">
        <v>0</v>
      </c>
      <c r="L13" s="104">
        <v>0</v>
      </c>
      <c r="M13" s="104">
        <v>0</v>
      </c>
      <c r="N13" s="104">
        <v>0</v>
      </c>
    </row>
    <row r="14" spans="2:15" x14ac:dyDescent="0.3">
      <c r="B14" s="75" t="s">
        <v>240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5" x14ac:dyDescent="0.3">
      <c r="B15" s="74" t="s">
        <v>241</v>
      </c>
      <c r="C15" s="104">
        <v>22</v>
      </c>
      <c r="D15" s="104">
        <v>25</v>
      </c>
      <c r="E15" s="104">
        <v>20</v>
      </c>
      <c r="F15" s="104">
        <v>22</v>
      </c>
      <c r="G15" s="104">
        <v>20</v>
      </c>
      <c r="H15" s="104">
        <v>18</v>
      </c>
      <c r="I15" s="104">
        <v>17</v>
      </c>
      <c r="J15" s="104">
        <v>20</v>
      </c>
      <c r="K15" s="104">
        <v>26</v>
      </c>
      <c r="L15" s="104">
        <v>218</v>
      </c>
      <c r="M15" s="104">
        <v>205</v>
      </c>
      <c r="N15" s="104">
        <v>207</v>
      </c>
    </row>
    <row r="16" spans="2:15" x14ac:dyDescent="0.3">
      <c r="B16" s="74" t="s">
        <v>242</v>
      </c>
      <c r="C16" s="104">
        <v>5825</v>
      </c>
      <c r="D16" s="104">
        <v>5506</v>
      </c>
      <c r="E16" s="104">
        <v>5685</v>
      </c>
      <c r="F16" s="104">
        <v>6186</v>
      </c>
      <c r="G16" s="104">
        <v>7170</v>
      </c>
      <c r="H16" s="104">
        <v>7206</v>
      </c>
      <c r="I16" s="104">
        <v>7535</v>
      </c>
      <c r="J16" s="104">
        <v>8802</v>
      </c>
      <c r="K16" s="104">
        <v>9068</v>
      </c>
      <c r="L16" s="104">
        <v>9574</v>
      </c>
      <c r="M16" s="104">
        <v>10486</v>
      </c>
      <c r="N16" s="104">
        <v>11315</v>
      </c>
      <c r="O16" s="128"/>
    </row>
    <row r="17" spans="2:15" x14ac:dyDescent="0.3">
      <c r="B17" s="74" t="s">
        <v>243</v>
      </c>
      <c r="C17" s="104">
        <v>37</v>
      </c>
      <c r="D17" s="104">
        <v>45</v>
      </c>
      <c r="E17" s="104">
        <v>45</v>
      </c>
      <c r="F17" s="104">
        <v>78</v>
      </c>
      <c r="G17" s="104">
        <v>62</v>
      </c>
      <c r="H17" s="104">
        <v>43</v>
      </c>
      <c r="I17" s="104">
        <v>158</v>
      </c>
      <c r="J17" s="104">
        <v>96</v>
      </c>
      <c r="K17" s="104">
        <v>119</v>
      </c>
      <c r="L17" s="104">
        <v>98</v>
      </c>
      <c r="M17" s="104">
        <v>91</v>
      </c>
      <c r="N17" s="104">
        <v>105</v>
      </c>
    </row>
    <row r="18" spans="2:15" x14ac:dyDescent="0.3">
      <c r="B18" s="74" t="s">
        <v>244</v>
      </c>
      <c r="C18" s="105">
        <v>4287</v>
      </c>
      <c r="D18" s="105">
        <v>4783</v>
      </c>
      <c r="E18" s="105">
        <v>2293</v>
      </c>
      <c r="F18" s="105">
        <v>2399</v>
      </c>
      <c r="G18" s="105">
        <v>3329</v>
      </c>
      <c r="H18" s="105">
        <v>3396</v>
      </c>
      <c r="I18" s="105">
        <v>4214</v>
      </c>
      <c r="J18" s="105">
        <v>12148</v>
      </c>
      <c r="K18" s="105">
        <v>11189</v>
      </c>
      <c r="L18" s="105">
        <v>11664</v>
      </c>
      <c r="M18" s="105">
        <v>15005</v>
      </c>
      <c r="N18" s="105">
        <v>17186</v>
      </c>
      <c r="O18" s="128"/>
    </row>
    <row r="19" spans="2:15" ht="15" thickBot="1" x14ac:dyDescent="0.35">
      <c r="B19" s="75" t="s">
        <v>245</v>
      </c>
      <c r="C19" s="106">
        <f>SUM(C6:C18)</f>
        <v>13753</v>
      </c>
      <c r="D19" s="106">
        <f t="shared" ref="D19:N19" si="0">SUM(D6:D18)</f>
        <v>14429</v>
      </c>
      <c r="E19" s="106">
        <f t="shared" si="0"/>
        <v>14793</v>
      </c>
      <c r="F19" s="106">
        <f t="shared" si="0"/>
        <v>15706</v>
      </c>
      <c r="G19" s="106">
        <f t="shared" si="0"/>
        <v>17862</v>
      </c>
      <c r="H19" s="106">
        <f t="shared" si="0"/>
        <v>18629</v>
      </c>
      <c r="I19" s="106">
        <f t="shared" si="0"/>
        <v>20153</v>
      </c>
      <c r="J19" s="106">
        <f t="shared" si="0"/>
        <v>68740</v>
      </c>
      <c r="K19" s="106">
        <f t="shared" si="0"/>
        <v>70506</v>
      </c>
      <c r="L19" s="106">
        <f t="shared" si="0"/>
        <v>73077</v>
      </c>
      <c r="M19" s="106">
        <f t="shared" si="0"/>
        <v>78489</v>
      </c>
      <c r="N19" s="106">
        <f t="shared" si="0"/>
        <v>79863</v>
      </c>
    </row>
    <row r="20" spans="2:15" ht="15" thickTop="1" x14ac:dyDescent="0.3"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</row>
    <row r="21" spans="2:15" x14ac:dyDescent="0.3">
      <c r="B21" s="75" t="s">
        <v>246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</row>
    <row r="22" spans="2:15" x14ac:dyDescent="0.3">
      <c r="B22" s="74" t="s">
        <v>247</v>
      </c>
      <c r="C22" s="104">
        <v>133</v>
      </c>
      <c r="D22" s="104">
        <v>102</v>
      </c>
      <c r="E22" s="104">
        <v>88</v>
      </c>
      <c r="F22" s="104">
        <v>89</v>
      </c>
      <c r="G22" s="104">
        <v>87</v>
      </c>
      <c r="H22" s="104">
        <v>86</v>
      </c>
      <c r="I22" s="104">
        <v>59</v>
      </c>
      <c r="J22" s="104">
        <v>477</v>
      </c>
      <c r="K22" s="104">
        <v>477</v>
      </c>
      <c r="L22" s="104">
        <v>609</v>
      </c>
      <c r="M22" s="104">
        <v>633</v>
      </c>
      <c r="N22" s="104">
        <v>628</v>
      </c>
    </row>
    <row r="23" spans="2:15" x14ac:dyDescent="0.3">
      <c r="B23" s="74" t="s">
        <v>248</v>
      </c>
      <c r="C23" s="104">
        <v>1133</v>
      </c>
      <c r="D23" s="104">
        <v>1173</v>
      </c>
      <c r="E23" s="104">
        <v>931</v>
      </c>
      <c r="F23" s="104">
        <v>1210</v>
      </c>
      <c r="G23" s="104">
        <v>1343</v>
      </c>
      <c r="H23" s="104">
        <v>1527</v>
      </c>
      <c r="I23" s="104">
        <v>2044</v>
      </c>
      <c r="J23" s="104">
        <v>2602</v>
      </c>
      <c r="K23" s="104">
        <v>2788</v>
      </c>
      <c r="L23" s="104">
        <v>3101</v>
      </c>
      <c r="M23" s="104">
        <v>3590</v>
      </c>
      <c r="N23" s="104">
        <v>3833</v>
      </c>
    </row>
    <row r="24" spans="2:15" x14ac:dyDescent="0.3">
      <c r="B24" s="74" t="s">
        <v>249</v>
      </c>
      <c r="C24" s="104">
        <v>3176</v>
      </c>
      <c r="D24" s="104">
        <v>3481</v>
      </c>
      <c r="E24" s="104">
        <v>2370</v>
      </c>
      <c r="F24" s="104">
        <v>3270</v>
      </c>
      <c r="G24" s="104">
        <v>3691</v>
      </c>
      <c r="H24" s="104">
        <v>4092</v>
      </c>
      <c r="I24" s="104">
        <v>5001</v>
      </c>
      <c r="J24" s="104">
        <v>6097</v>
      </c>
      <c r="K24" s="104">
        <v>6566</v>
      </c>
      <c r="L24" s="104">
        <v>7612</v>
      </c>
      <c r="M24" s="104">
        <v>8946</v>
      </c>
      <c r="N24" s="104">
        <v>9900</v>
      </c>
    </row>
    <row r="25" spans="2:15" x14ac:dyDescent="0.3">
      <c r="B25" s="74" t="s">
        <v>250</v>
      </c>
      <c r="C25" s="104">
        <v>104</v>
      </c>
      <c r="D25" s="104">
        <v>106</v>
      </c>
      <c r="E25" s="104">
        <v>41</v>
      </c>
      <c r="F25" s="104">
        <v>62</v>
      </c>
      <c r="G25" s="104">
        <v>74</v>
      </c>
      <c r="H25" s="104">
        <v>95</v>
      </c>
      <c r="I25" s="104">
        <v>139</v>
      </c>
      <c r="J25" s="104">
        <v>175</v>
      </c>
      <c r="K25" s="104">
        <v>181</v>
      </c>
      <c r="L25" s="104">
        <v>185</v>
      </c>
      <c r="M25" s="104">
        <v>206</v>
      </c>
      <c r="N25" s="104">
        <v>245</v>
      </c>
    </row>
    <row r="26" spans="2:15" x14ac:dyDescent="0.3">
      <c r="B26" s="74" t="s">
        <v>251</v>
      </c>
      <c r="C26" s="104">
        <v>102</v>
      </c>
      <c r="D26" s="104">
        <v>108</v>
      </c>
      <c r="E26" s="104">
        <v>61</v>
      </c>
      <c r="F26" s="104">
        <v>66</v>
      </c>
      <c r="G26" s="104">
        <v>76</v>
      </c>
      <c r="H26" s="104">
        <v>88</v>
      </c>
      <c r="I26" s="104">
        <v>154</v>
      </c>
      <c r="J26" s="104">
        <v>156</v>
      </c>
      <c r="K26" s="104">
        <v>152</v>
      </c>
      <c r="L26" s="104">
        <v>161</v>
      </c>
      <c r="M26" s="104">
        <v>165</v>
      </c>
      <c r="N26" s="104">
        <v>174</v>
      </c>
    </row>
    <row r="27" spans="2:15" x14ac:dyDescent="0.3">
      <c r="B27" s="74" t="s">
        <v>252</v>
      </c>
      <c r="C27" s="104">
        <v>0</v>
      </c>
      <c r="D27" s="104">
        <v>0</v>
      </c>
      <c r="E27" s="104">
        <v>0</v>
      </c>
      <c r="F27" s="104">
        <v>0</v>
      </c>
      <c r="G27" s="104">
        <v>0</v>
      </c>
      <c r="H27" s="104">
        <v>0</v>
      </c>
      <c r="I27" s="104">
        <v>0</v>
      </c>
      <c r="J27" s="104">
        <v>0</v>
      </c>
      <c r="K27" s="104">
        <v>0</v>
      </c>
      <c r="L27" s="104">
        <v>0</v>
      </c>
      <c r="M27" s="104">
        <v>0</v>
      </c>
      <c r="N27" s="104">
        <v>0</v>
      </c>
    </row>
    <row r="28" spans="2:15" x14ac:dyDescent="0.3">
      <c r="B28" s="74" t="s">
        <v>253</v>
      </c>
      <c r="C28" s="104">
        <v>2</v>
      </c>
      <c r="D28" s="104">
        <v>1</v>
      </c>
      <c r="E28" s="104">
        <v>0</v>
      </c>
      <c r="F28" s="104">
        <v>0</v>
      </c>
      <c r="G28" s="104">
        <v>0</v>
      </c>
      <c r="H28" s="104">
        <v>0</v>
      </c>
      <c r="I28" s="104">
        <v>0</v>
      </c>
      <c r="J28" s="104">
        <v>0</v>
      </c>
      <c r="K28" s="104">
        <v>0</v>
      </c>
      <c r="L28" s="104">
        <v>33</v>
      </c>
      <c r="M28" s="104">
        <v>39</v>
      </c>
      <c r="N28" s="104">
        <v>102</v>
      </c>
    </row>
    <row r="29" spans="2:15" x14ac:dyDescent="0.3">
      <c r="B29" s="74" t="s">
        <v>254</v>
      </c>
      <c r="C29" s="104">
        <v>247</v>
      </c>
      <c r="D29" s="104">
        <v>247</v>
      </c>
      <c r="E29" s="104">
        <v>85</v>
      </c>
      <c r="F29" s="104">
        <v>455</v>
      </c>
      <c r="G29" s="104">
        <v>455</v>
      </c>
      <c r="H29" s="104">
        <v>511</v>
      </c>
      <c r="I29" s="104">
        <v>511</v>
      </c>
      <c r="J29" s="104">
        <v>45262</v>
      </c>
      <c r="K29" s="104">
        <v>45262</v>
      </c>
      <c r="L29" s="104">
        <v>45692</v>
      </c>
      <c r="M29" s="104">
        <v>45692</v>
      </c>
      <c r="N29" s="104">
        <v>45692</v>
      </c>
      <c r="O29" s="128"/>
    </row>
    <row r="30" spans="2:15" x14ac:dyDescent="0.3">
      <c r="B30" s="74" t="s">
        <v>255</v>
      </c>
      <c r="C30" s="105">
        <v>183</v>
      </c>
      <c r="D30" s="105">
        <v>193</v>
      </c>
      <c r="E30" s="105">
        <v>19</v>
      </c>
      <c r="F30" s="105">
        <v>19</v>
      </c>
      <c r="G30" s="105">
        <v>26</v>
      </c>
      <c r="H30" s="105">
        <v>60</v>
      </c>
      <c r="I30" s="105">
        <v>71</v>
      </c>
      <c r="J30" s="105">
        <v>155</v>
      </c>
      <c r="K30" s="105">
        <v>152</v>
      </c>
      <c r="L30" s="105">
        <v>171</v>
      </c>
      <c r="M30" s="105">
        <v>180</v>
      </c>
      <c r="N30" s="105">
        <v>190</v>
      </c>
    </row>
    <row r="31" spans="2:15" x14ac:dyDescent="0.3">
      <c r="B31" s="75" t="s">
        <v>256</v>
      </c>
      <c r="C31" s="113">
        <f>SUM(C22:C30)</f>
        <v>5080</v>
      </c>
      <c r="D31" s="113">
        <f t="shared" ref="D31:N31" si="1">SUM(D22:D30)</f>
        <v>5411</v>
      </c>
      <c r="E31" s="113">
        <f t="shared" si="1"/>
        <v>3595</v>
      </c>
      <c r="F31" s="113">
        <f t="shared" si="1"/>
        <v>5171</v>
      </c>
      <c r="G31" s="113">
        <f t="shared" si="1"/>
        <v>5752</v>
      </c>
      <c r="H31" s="113">
        <f t="shared" si="1"/>
        <v>6459</v>
      </c>
      <c r="I31" s="113">
        <f t="shared" si="1"/>
        <v>7979</v>
      </c>
      <c r="J31" s="113">
        <f t="shared" si="1"/>
        <v>54924</v>
      </c>
      <c r="K31" s="113">
        <f t="shared" si="1"/>
        <v>55578</v>
      </c>
      <c r="L31" s="113">
        <f t="shared" si="1"/>
        <v>57564</v>
      </c>
      <c r="M31" s="113">
        <f t="shared" si="1"/>
        <v>59451</v>
      </c>
      <c r="N31" s="113">
        <f t="shared" si="1"/>
        <v>60764</v>
      </c>
    </row>
    <row r="32" spans="2:15" x14ac:dyDescent="0.3">
      <c r="B32" s="74" t="s">
        <v>257</v>
      </c>
      <c r="C32" s="112">
        <v>2333</v>
      </c>
      <c r="D32" s="112">
        <v>2591</v>
      </c>
      <c r="E32" s="112">
        <v>337</v>
      </c>
      <c r="F32" s="112">
        <v>752</v>
      </c>
      <c r="G32" s="112">
        <v>1224</v>
      </c>
      <c r="H32" s="112">
        <v>1744</v>
      </c>
      <c r="I32" s="112">
        <v>2500</v>
      </c>
      <c r="J32" s="112">
        <v>3481</v>
      </c>
      <c r="K32" s="112">
        <v>4105</v>
      </c>
      <c r="L32" s="112">
        <v>4886</v>
      </c>
      <c r="M32" s="112">
        <v>5707</v>
      </c>
      <c r="N32" s="112">
        <v>6429</v>
      </c>
    </row>
    <row r="33" spans="2:15" x14ac:dyDescent="0.3">
      <c r="B33" s="75" t="s">
        <v>14</v>
      </c>
      <c r="C33" s="111">
        <f>C31-C32</f>
        <v>2747</v>
      </c>
      <c r="D33" s="111">
        <f t="shared" ref="D33:N33" si="2">D31-D32</f>
        <v>2820</v>
      </c>
      <c r="E33" s="111">
        <f t="shared" si="2"/>
        <v>3258</v>
      </c>
      <c r="F33" s="111">
        <f t="shared" si="2"/>
        <v>4419</v>
      </c>
      <c r="G33" s="111">
        <f t="shared" si="2"/>
        <v>4528</v>
      </c>
      <c r="H33" s="111">
        <f t="shared" si="2"/>
        <v>4715</v>
      </c>
      <c r="I33" s="111">
        <f t="shared" si="2"/>
        <v>5479</v>
      </c>
      <c r="J33" s="111">
        <f t="shared" si="2"/>
        <v>51443</v>
      </c>
      <c r="K33" s="111">
        <f t="shared" si="2"/>
        <v>51473</v>
      </c>
      <c r="L33" s="111">
        <f t="shared" si="2"/>
        <v>52678</v>
      </c>
      <c r="M33" s="111">
        <f t="shared" si="2"/>
        <v>53744</v>
      </c>
      <c r="N33" s="111">
        <f t="shared" si="2"/>
        <v>54335</v>
      </c>
    </row>
    <row r="34" spans="2:15" x14ac:dyDescent="0.3"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</row>
    <row r="35" spans="2:15" x14ac:dyDescent="0.3">
      <c r="B35" s="75" t="s">
        <v>258</v>
      </c>
      <c r="C35" s="104">
        <v>373</v>
      </c>
      <c r="D35" s="104">
        <v>516</v>
      </c>
      <c r="E35" s="104">
        <v>408</v>
      </c>
      <c r="F35" s="104">
        <v>229</v>
      </c>
      <c r="G35" s="104">
        <v>461</v>
      </c>
      <c r="H35" s="104">
        <v>406</v>
      </c>
      <c r="I35" s="104">
        <v>597</v>
      </c>
      <c r="J35" s="104">
        <v>745</v>
      </c>
      <c r="K35" s="104">
        <v>1313</v>
      </c>
      <c r="L35" s="104">
        <v>1132</v>
      </c>
      <c r="M35" s="104">
        <v>1025</v>
      </c>
      <c r="N35" s="104">
        <v>1009</v>
      </c>
      <c r="O35" s="128"/>
    </row>
    <row r="36" spans="2:15" x14ac:dyDescent="0.3">
      <c r="B36" s="75" t="s">
        <v>16</v>
      </c>
      <c r="C36" s="104">
        <v>2838</v>
      </c>
      <c r="D36" s="104">
        <v>3025</v>
      </c>
      <c r="E36" s="104">
        <v>2592</v>
      </c>
      <c r="F36" s="104">
        <v>3794</v>
      </c>
      <c r="G36" s="104">
        <v>2873</v>
      </c>
      <c r="H36" s="104">
        <v>2716</v>
      </c>
      <c r="I36" s="104">
        <v>1255</v>
      </c>
      <c r="J36" s="104">
        <v>2709</v>
      </c>
      <c r="K36" s="104">
        <v>3521</v>
      </c>
      <c r="L36" s="104">
        <v>2882</v>
      </c>
      <c r="M36" s="104">
        <v>4625</v>
      </c>
      <c r="N36" s="104">
        <v>3810</v>
      </c>
      <c r="O36" s="128"/>
    </row>
    <row r="37" spans="2:15" x14ac:dyDescent="0.3">
      <c r="B37" s="75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</row>
    <row r="38" spans="2:15" x14ac:dyDescent="0.3">
      <c r="B38" s="75" t="s">
        <v>259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2:15" x14ac:dyDescent="0.3">
      <c r="B39" s="74" t="s">
        <v>260</v>
      </c>
      <c r="C39" s="104">
        <v>2940</v>
      </c>
      <c r="D39" s="104">
        <v>2849</v>
      </c>
      <c r="E39" s="104">
        <v>2726</v>
      </c>
      <c r="F39" s="104">
        <v>2541</v>
      </c>
      <c r="G39" s="104">
        <v>2513</v>
      </c>
      <c r="H39" s="104">
        <v>2574</v>
      </c>
      <c r="I39" s="104">
        <v>2767</v>
      </c>
      <c r="J39" s="104">
        <v>3579</v>
      </c>
      <c r="K39" s="104">
        <v>4096</v>
      </c>
      <c r="L39" s="104">
        <v>4251</v>
      </c>
      <c r="M39" s="104">
        <v>4022</v>
      </c>
      <c r="N39" s="104">
        <v>4415</v>
      </c>
      <c r="O39" s="128"/>
    </row>
    <row r="40" spans="2:15" x14ac:dyDescent="0.3">
      <c r="B40" s="74" t="s">
        <v>261</v>
      </c>
      <c r="C40" s="104">
        <v>1017</v>
      </c>
      <c r="D40" s="104">
        <v>1010</v>
      </c>
      <c r="E40" s="104">
        <v>1264</v>
      </c>
      <c r="F40" s="104">
        <v>1085</v>
      </c>
      <c r="G40" s="104">
        <v>1310</v>
      </c>
      <c r="H40" s="104">
        <v>1816</v>
      </c>
      <c r="I40" s="104">
        <v>1149</v>
      </c>
      <c r="J40" s="104">
        <v>1758</v>
      </c>
      <c r="K40" s="104">
        <v>2236</v>
      </c>
      <c r="L40" s="104">
        <v>3079</v>
      </c>
      <c r="M40" s="104">
        <v>2997</v>
      </c>
      <c r="N40" s="104">
        <v>3819</v>
      </c>
      <c r="O40" s="128"/>
    </row>
    <row r="41" spans="2:15" x14ac:dyDescent="0.3">
      <c r="B41" s="74" t="s">
        <v>262</v>
      </c>
      <c r="C41" s="104">
        <v>2516</v>
      </c>
      <c r="D41" s="104">
        <v>2689</v>
      </c>
      <c r="E41" s="104">
        <v>3009</v>
      </c>
      <c r="F41" s="104">
        <v>1828</v>
      </c>
      <c r="G41" s="104">
        <v>3485</v>
      </c>
      <c r="H41" s="104">
        <v>3757</v>
      </c>
      <c r="I41" s="104">
        <v>5113</v>
      </c>
      <c r="J41" s="104">
        <v>4471</v>
      </c>
      <c r="K41" s="104">
        <v>3846</v>
      </c>
      <c r="L41" s="104">
        <v>4678</v>
      </c>
      <c r="M41" s="104">
        <v>7559</v>
      </c>
      <c r="N41" s="104">
        <v>7554</v>
      </c>
      <c r="O41" s="128"/>
    </row>
    <row r="42" spans="2:15" x14ac:dyDescent="0.3">
      <c r="B42" s="74" t="s">
        <v>263</v>
      </c>
      <c r="C42" s="104">
        <v>0</v>
      </c>
      <c r="D42" s="104">
        <v>0</v>
      </c>
      <c r="E42" s="104">
        <v>0</v>
      </c>
      <c r="F42" s="104">
        <v>71</v>
      </c>
      <c r="G42" s="104">
        <v>40</v>
      </c>
      <c r="H42" s="104">
        <v>26</v>
      </c>
      <c r="I42" s="104">
        <v>19</v>
      </c>
      <c r="J42" s="104">
        <v>78</v>
      </c>
      <c r="K42" s="104">
        <v>170</v>
      </c>
      <c r="L42" s="104">
        <v>188</v>
      </c>
      <c r="M42" s="104">
        <v>172</v>
      </c>
      <c r="N42" s="104">
        <v>242</v>
      </c>
      <c r="O42" s="128"/>
    </row>
    <row r="43" spans="2:15" x14ac:dyDescent="0.3">
      <c r="B43" s="74" t="s">
        <v>264</v>
      </c>
      <c r="C43" s="105">
        <v>1324</v>
      </c>
      <c r="D43" s="105">
        <v>1519</v>
      </c>
      <c r="E43" s="105">
        <v>1536</v>
      </c>
      <c r="F43" s="105">
        <v>1739</v>
      </c>
      <c r="G43" s="105">
        <v>2652</v>
      </c>
      <c r="H43" s="105">
        <v>2619</v>
      </c>
      <c r="I43" s="105">
        <v>3774</v>
      </c>
      <c r="J43" s="105">
        <v>3957</v>
      </c>
      <c r="K43" s="105">
        <v>3851</v>
      </c>
      <c r="L43" s="105">
        <v>4189</v>
      </c>
      <c r="M43" s="105">
        <v>4345</v>
      </c>
      <c r="N43" s="105">
        <v>4679</v>
      </c>
      <c r="O43" s="128"/>
    </row>
    <row r="44" spans="2:15" ht="15" thickBot="1" x14ac:dyDescent="0.35">
      <c r="B44" s="75" t="s">
        <v>82</v>
      </c>
      <c r="C44" s="114">
        <f>SUM(C39:C43,C35:C36,C33)</f>
        <v>13755</v>
      </c>
      <c r="D44" s="114">
        <f t="shared" ref="D44:N44" si="3">SUM(D39:D43,D35:D36,D33)</f>
        <v>14428</v>
      </c>
      <c r="E44" s="114">
        <f t="shared" si="3"/>
        <v>14793</v>
      </c>
      <c r="F44" s="114">
        <f t="shared" si="3"/>
        <v>15706</v>
      </c>
      <c r="G44" s="114">
        <f t="shared" si="3"/>
        <v>17862</v>
      </c>
      <c r="H44" s="114">
        <f t="shared" si="3"/>
        <v>18629</v>
      </c>
      <c r="I44" s="114">
        <f t="shared" si="3"/>
        <v>20153</v>
      </c>
      <c r="J44" s="114">
        <f t="shared" si="3"/>
        <v>68740</v>
      </c>
      <c r="K44" s="114">
        <f t="shared" si="3"/>
        <v>70506</v>
      </c>
      <c r="L44" s="114">
        <f t="shared" si="3"/>
        <v>73077</v>
      </c>
      <c r="M44" s="114">
        <f t="shared" si="3"/>
        <v>78489</v>
      </c>
      <c r="N44" s="114">
        <f t="shared" si="3"/>
        <v>79863</v>
      </c>
    </row>
    <row r="45" spans="2:15" ht="15" thickTop="1" x14ac:dyDescent="0.3"/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EE44-1CA9-482A-97CD-446D8CD26591}">
  <dimension ref="B2:N37"/>
  <sheetViews>
    <sheetView showGridLines="0" workbookViewId="0">
      <selection activeCell="E4" sqref="E4"/>
    </sheetView>
  </sheetViews>
  <sheetFormatPr defaultRowHeight="14.4" x14ac:dyDescent="0.3"/>
  <cols>
    <col min="1" max="1" width="1.88671875" customWidth="1"/>
    <col min="2" max="2" width="34.109375" bestFit="1" customWidth="1"/>
  </cols>
  <sheetData>
    <row r="2" spans="2:14" x14ac:dyDescent="0.3">
      <c r="B2" s="170" t="s">
        <v>265</v>
      </c>
      <c r="C2" s="171">
        <v>41699</v>
      </c>
      <c r="D2" s="171">
        <v>42064</v>
      </c>
      <c r="E2" s="171">
        <v>42430</v>
      </c>
      <c r="F2" s="171">
        <v>42795</v>
      </c>
      <c r="G2" s="171">
        <v>43160</v>
      </c>
      <c r="H2" s="171">
        <v>43525</v>
      </c>
      <c r="I2" s="171">
        <v>43891</v>
      </c>
      <c r="J2" s="171">
        <v>44256</v>
      </c>
      <c r="K2" s="171">
        <v>44621</v>
      </c>
      <c r="L2" s="171">
        <v>44986</v>
      </c>
      <c r="M2" s="171">
        <v>45352</v>
      </c>
      <c r="N2" s="171">
        <v>45717</v>
      </c>
    </row>
    <row r="3" spans="2:14" x14ac:dyDescent="0.3">
      <c r="B3" s="2" t="s">
        <v>335</v>
      </c>
      <c r="C3" s="2">
        <v>3818</v>
      </c>
      <c r="D3" s="2">
        <v>3292</v>
      </c>
      <c r="E3" s="2">
        <v>4171</v>
      </c>
      <c r="F3" s="2">
        <v>5185</v>
      </c>
      <c r="G3" s="2">
        <v>6059</v>
      </c>
      <c r="H3" s="2">
        <v>5800</v>
      </c>
      <c r="I3" s="2">
        <v>7623</v>
      </c>
      <c r="J3" s="2">
        <v>9163</v>
      </c>
      <c r="K3" s="2">
        <v>9048</v>
      </c>
      <c r="L3" s="2">
        <v>9991</v>
      </c>
      <c r="M3" s="2">
        <v>15469</v>
      </c>
      <c r="N3" s="2">
        <v>11886</v>
      </c>
    </row>
    <row r="4" spans="2:14" x14ac:dyDescent="0.3">
      <c r="B4" t="s">
        <v>85</v>
      </c>
      <c r="C4">
        <v>4802</v>
      </c>
      <c r="D4">
        <v>5510</v>
      </c>
      <c r="E4">
        <v>6025</v>
      </c>
      <c r="F4">
        <v>6512</v>
      </c>
      <c r="G4">
        <v>7485</v>
      </c>
      <c r="H4">
        <v>8909</v>
      </c>
      <c r="I4">
        <v>9723</v>
      </c>
      <c r="J4">
        <v>11672</v>
      </c>
      <c r="K4">
        <v>12829</v>
      </c>
      <c r="L4">
        <v>14089</v>
      </c>
      <c r="M4">
        <v>14537</v>
      </c>
      <c r="N4">
        <v>14942</v>
      </c>
    </row>
    <row r="5" spans="2:14" x14ac:dyDescent="0.3">
      <c r="B5" t="s">
        <v>44</v>
      </c>
      <c r="C5">
        <v>-17</v>
      </c>
      <c r="D5">
        <v>3</v>
      </c>
      <c r="E5">
        <v>-257</v>
      </c>
      <c r="F5">
        <v>173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2:14" x14ac:dyDescent="0.3">
      <c r="B6" t="s">
        <v>30</v>
      </c>
      <c r="C6">
        <v>-201</v>
      </c>
      <c r="D6">
        <v>91</v>
      </c>
      <c r="E6">
        <v>89</v>
      </c>
      <c r="F6">
        <v>37</v>
      </c>
      <c r="G6">
        <v>-146</v>
      </c>
      <c r="H6">
        <v>-195</v>
      </c>
      <c r="I6">
        <v>-331</v>
      </c>
      <c r="J6">
        <v>-543</v>
      </c>
      <c r="K6">
        <v>-758</v>
      </c>
      <c r="L6">
        <v>-339</v>
      </c>
      <c r="M6">
        <v>74</v>
      </c>
      <c r="N6">
        <v>-584</v>
      </c>
    </row>
    <row r="7" spans="2:14" x14ac:dyDescent="0.3">
      <c r="B7" t="s">
        <v>86</v>
      </c>
      <c r="C7">
        <v>546</v>
      </c>
      <c r="D7">
        <v>-327</v>
      </c>
      <c r="E7">
        <v>164</v>
      </c>
      <c r="F7">
        <v>501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2:14" x14ac:dyDescent="0.3">
      <c r="B8" t="s">
        <v>284</v>
      </c>
      <c r="C8">
        <v>-4</v>
      </c>
      <c r="D8">
        <v>-148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">
      <c r="B9" t="s">
        <v>285</v>
      </c>
      <c r="C9">
        <v>0</v>
      </c>
      <c r="D9">
        <v>0</v>
      </c>
      <c r="E9">
        <v>0</v>
      </c>
      <c r="F9">
        <v>-46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2:14" x14ac:dyDescent="0.3">
      <c r="B10" t="s">
        <v>87</v>
      </c>
      <c r="C10">
        <v>81</v>
      </c>
      <c r="D10">
        <v>38</v>
      </c>
      <c r="E10">
        <v>-77</v>
      </c>
      <c r="F10">
        <v>-99</v>
      </c>
      <c r="G10">
        <v>982</v>
      </c>
      <c r="H10">
        <v>-147</v>
      </c>
      <c r="I10">
        <v>742</v>
      </c>
      <c r="J10">
        <v>442</v>
      </c>
      <c r="K10">
        <v>-242</v>
      </c>
      <c r="L10">
        <v>-621</v>
      </c>
      <c r="M10">
        <v>1239</v>
      </c>
      <c r="N10">
        <v>-204</v>
      </c>
    </row>
    <row r="11" spans="2:14" x14ac:dyDescent="0.3">
      <c r="B11" t="s">
        <v>88</v>
      </c>
      <c r="C11">
        <v>405</v>
      </c>
      <c r="D11">
        <v>-342</v>
      </c>
      <c r="E11">
        <v>-81</v>
      </c>
      <c r="F11">
        <v>566</v>
      </c>
      <c r="G11">
        <v>836</v>
      </c>
      <c r="H11">
        <v>-342</v>
      </c>
      <c r="I11">
        <v>411</v>
      </c>
      <c r="J11">
        <v>-101</v>
      </c>
      <c r="K11">
        <v>-1000</v>
      </c>
      <c r="L11">
        <v>-960</v>
      </c>
      <c r="M11">
        <v>1313</v>
      </c>
      <c r="N11">
        <v>-788</v>
      </c>
    </row>
    <row r="12" spans="2:14" x14ac:dyDescent="0.3">
      <c r="B12" t="s">
        <v>89</v>
      </c>
      <c r="C12">
        <v>-1384</v>
      </c>
      <c r="D12">
        <v>-1862</v>
      </c>
      <c r="E12">
        <v>-1765</v>
      </c>
      <c r="F12">
        <v>-1859</v>
      </c>
      <c r="G12">
        <v>-2264</v>
      </c>
      <c r="H12">
        <v>-2767</v>
      </c>
      <c r="I12">
        <v>-2505</v>
      </c>
      <c r="J12">
        <v>-2407</v>
      </c>
      <c r="K12">
        <v>-2784</v>
      </c>
      <c r="L12">
        <v>-3138</v>
      </c>
      <c r="M12">
        <v>-381</v>
      </c>
      <c r="N12">
        <v>-2268</v>
      </c>
    </row>
    <row r="13" spans="2:14" x14ac:dyDescent="0.3">
      <c r="B13" t="s">
        <v>286</v>
      </c>
      <c r="C13">
        <v>-5</v>
      </c>
      <c r="D13">
        <v>-14</v>
      </c>
      <c r="E13">
        <v>-8</v>
      </c>
      <c r="F13">
        <v>-21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2:14" x14ac:dyDescent="0.3">
      <c r="B14" t="s">
        <v>287</v>
      </c>
      <c r="C14">
        <v>0</v>
      </c>
      <c r="D14">
        <v>0</v>
      </c>
      <c r="E14">
        <v>0</v>
      </c>
      <c r="F14">
        <v>-13</v>
      </c>
      <c r="G14">
        <v>2</v>
      </c>
      <c r="H14">
        <v>0</v>
      </c>
      <c r="I14">
        <v>-6</v>
      </c>
      <c r="J14">
        <v>-1</v>
      </c>
      <c r="K14">
        <v>3</v>
      </c>
      <c r="L14">
        <v>0</v>
      </c>
      <c r="M14">
        <v>0</v>
      </c>
      <c r="N14">
        <v>0</v>
      </c>
    </row>
    <row r="15" spans="2:14" x14ac:dyDescent="0.3">
      <c r="B15" s="2" t="s">
        <v>336</v>
      </c>
      <c r="C15" s="2">
        <v>-475</v>
      </c>
      <c r="D15" s="2">
        <v>138</v>
      </c>
      <c r="E15" s="2">
        <v>-282</v>
      </c>
      <c r="F15" s="2">
        <v>-1173</v>
      </c>
      <c r="G15" s="2">
        <v>-1063</v>
      </c>
      <c r="H15" s="2">
        <v>-438</v>
      </c>
      <c r="I15" s="2">
        <v>1791</v>
      </c>
      <c r="J15" s="2">
        <v>-1228</v>
      </c>
      <c r="K15" s="2">
        <v>-1728</v>
      </c>
      <c r="L15" s="2">
        <v>-1484</v>
      </c>
      <c r="M15" s="2">
        <v>-5324</v>
      </c>
      <c r="N15" s="2">
        <v>6473</v>
      </c>
    </row>
    <row r="16" spans="2:14" x14ac:dyDescent="0.3">
      <c r="B16" t="s">
        <v>90</v>
      </c>
      <c r="C16">
        <v>-606</v>
      </c>
      <c r="D16">
        <v>-606</v>
      </c>
      <c r="E16">
        <v>-810</v>
      </c>
      <c r="F16">
        <v>-1113</v>
      </c>
      <c r="G16">
        <v>-895</v>
      </c>
      <c r="H16">
        <v>-767</v>
      </c>
      <c r="I16">
        <v>-862</v>
      </c>
      <c r="J16">
        <v>-4163</v>
      </c>
      <c r="K16">
        <v>-1228</v>
      </c>
      <c r="L16">
        <v>-1192</v>
      </c>
      <c r="M16">
        <v>-1477</v>
      </c>
      <c r="N16">
        <v>-1275</v>
      </c>
    </row>
    <row r="17" spans="2:14" x14ac:dyDescent="0.3">
      <c r="B17" t="s">
        <v>91</v>
      </c>
      <c r="C17">
        <v>229</v>
      </c>
      <c r="D17">
        <v>560</v>
      </c>
      <c r="E17">
        <v>99</v>
      </c>
      <c r="F17">
        <v>176</v>
      </c>
      <c r="G17">
        <v>32</v>
      </c>
      <c r="H17">
        <v>13</v>
      </c>
      <c r="I17">
        <v>52</v>
      </c>
      <c r="J17">
        <v>97</v>
      </c>
      <c r="K17">
        <v>175</v>
      </c>
      <c r="L17">
        <v>181</v>
      </c>
      <c r="M17">
        <v>20</v>
      </c>
      <c r="N17">
        <v>13</v>
      </c>
    </row>
    <row r="18" spans="2:14" x14ac:dyDescent="0.3">
      <c r="B18" t="s">
        <v>92</v>
      </c>
      <c r="C18">
        <v>-9538</v>
      </c>
      <c r="D18">
        <v>-19353</v>
      </c>
      <c r="E18">
        <v>-20666</v>
      </c>
      <c r="F18">
        <v>-31214</v>
      </c>
      <c r="G18">
        <v>-51855</v>
      </c>
      <c r="H18">
        <v>-74365</v>
      </c>
      <c r="I18">
        <v>-36090</v>
      </c>
      <c r="J18">
        <v>-39920</v>
      </c>
      <c r="K18">
        <v>-48522</v>
      </c>
      <c r="L18">
        <v>-22649</v>
      </c>
      <c r="M18">
        <v>-21337</v>
      </c>
      <c r="N18">
        <v>-22957</v>
      </c>
    </row>
    <row r="19" spans="2:14" x14ac:dyDescent="0.3">
      <c r="B19" t="s">
        <v>93</v>
      </c>
      <c r="C19">
        <v>9213</v>
      </c>
      <c r="D19">
        <v>19461</v>
      </c>
      <c r="E19">
        <v>20937</v>
      </c>
      <c r="F19">
        <v>30083</v>
      </c>
      <c r="G19">
        <v>52897</v>
      </c>
      <c r="H19">
        <v>74691</v>
      </c>
      <c r="I19">
        <v>37690</v>
      </c>
      <c r="J19">
        <v>38486</v>
      </c>
      <c r="K19">
        <v>47786</v>
      </c>
      <c r="L19">
        <v>23462</v>
      </c>
      <c r="M19">
        <v>19846</v>
      </c>
      <c r="N19">
        <v>23987</v>
      </c>
    </row>
    <row r="20" spans="2:14" x14ac:dyDescent="0.3">
      <c r="B20" t="s">
        <v>94</v>
      </c>
      <c r="C20">
        <v>232</v>
      </c>
      <c r="D20">
        <v>218</v>
      </c>
      <c r="E20">
        <v>315</v>
      </c>
      <c r="F20">
        <v>264</v>
      </c>
      <c r="G20">
        <v>297</v>
      </c>
      <c r="H20">
        <v>289</v>
      </c>
      <c r="I20">
        <v>351</v>
      </c>
      <c r="J20">
        <v>277</v>
      </c>
      <c r="K20">
        <v>161</v>
      </c>
      <c r="L20">
        <v>259</v>
      </c>
      <c r="M20">
        <v>425</v>
      </c>
      <c r="N20">
        <v>835</v>
      </c>
    </row>
    <row r="21" spans="2:14" x14ac:dyDescent="0.3">
      <c r="B21" t="s">
        <v>95</v>
      </c>
      <c r="C21">
        <v>16</v>
      </c>
      <c r="D21">
        <v>24</v>
      </c>
      <c r="E21">
        <v>33</v>
      </c>
      <c r="F21">
        <v>14</v>
      </c>
      <c r="G21">
        <v>0</v>
      </c>
      <c r="H21">
        <v>1</v>
      </c>
      <c r="I21">
        <v>1</v>
      </c>
      <c r="J21">
        <v>1</v>
      </c>
      <c r="K21">
        <v>1</v>
      </c>
      <c r="L21">
        <v>2</v>
      </c>
      <c r="M21">
        <v>3</v>
      </c>
      <c r="N21">
        <v>0</v>
      </c>
    </row>
    <row r="22" spans="2:14" x14ac:dyDescent="0.3">
      <c r="B22" t="s">
        <v>288</v>
      </c>
      <c r="C22">
        <v>-101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289</v>
      </c>
      <c r="C23">
        <v>-104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3">
      <c r="B24" t="s">
        <v>96</v>
      </c>
      <c r="C24">
        <v>0</v>
      </c>
      <c r="D24">
        <v>200</v>
      </c>
      <c r="E24">
        <v>161</v>
      </c>
      <c r="F24">
        <v>20</v>
      </c>
      <c r="G24">
        <v>73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2:14" x14ac:dyDescent="0.3">
      <c r="B25" t="s">
        <v>97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-334</v>
      </c>
      <c r="M25">
        <v>0</v>
      </c>
      <c r="N25">
        <v>0</v>
      </c>
    </row>
    <row r="26" spans="2:14" x14ac:dyDescent="0.3">
      <c r="B26" t="s">
        <v>98</v>
      </c>
      <c r="C26">
        <v>183</v>
      </c>
      <c r="D26">
        <v>-367</v>
      </c>
      <c r="E26">
        <v>-351</v>
      </c>
      <c r="F26">
        <v>597</v>
      </c>
      <c r="G26">
        <v>-1612</v>
      </c>
      <c r="H26">
        <v>-300</v>
      </c>
      <c r="I26">
        <v>649</v>
      </c>
      <c r="J26">
        <v>3994</v>
      </c>
      <c r="K26">
        <v>-101</v>
      </c>
      <c r="L26">
        <v>-1213</v>
      </c>
      <c r="M26">
        <v>-2804</v>
      </c>
      <c r="N26">
        <v>5870</v>
      </c>
    </row>
    <row r="27" spans="2:14" x14ac:dyDescent="0.3">
      <c r="B27" s="2" t="s">
        <v>337</v>
      </c>
      <c r="C27" s="2">
        <v>-2960</v>
      </c>
      <c r="D27" s="2">
        <v>-3462</v>
      </c>
      <c r="E27" s="2">
        <v>-3864</v>
      </c>
      <c r="F27" s="2">
        <v>-4214</v>
      </c>
      <c r="G27" s="2">
        <v>-4975</v>
      </c>
      <c r="H27" s="2">
        <v>-5390</v>
      </c>
      <c r="I27" s="2">
        <v>-6819</v>
      </c>
      <c r="J27" s="2">
        <v>-9309</v>
      </c>
      <c r="K27" s="2">
        <v>-8015</v>
      </c>
      <c r="L27" s="2">
        <v>-8953</v>
      </c>
      <c r="M27" s="2">
        <v>-10034</v>
      </c>
      <c r="N27" s="2">
        <v>-13101</v>
      </c>
    </row>
    <row r="28" spans="2:14" x14ac:dyDescent="0.3">
      <c r="B28" t="s">
        <v>99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2:14" x14ac:dyDescent="0.3">
      <c r="B29" t="s">
        <v>100</v>
      </c>
      <c r="C29">
        <v>0</v>
      </c>
      <c r="D29">
        <v>0</v>
      </c>
      <c r="E29">
        <v>177</v>
      </c>
      <c r="F29">
        <v>460</v>
      </c>
      <c r="G29">
        <v>0</v>
      </c>
      <c r="H29">
        <v>99</v>
      </c>
      <c r="I29">
        <v>0</v>
      </c>
      <c r="J29">
        <v>188</v>
      </c>
      <c r="K29">
        <v>55</v>
      </c>
      <c r="L29">
        <v>286</v>
      </c>
      <c r="M29">
        <v>0</v>
      </c>
      <c r="N29">
        <v>0</v>
      </c>
    </row>
    <row r="30" spans="2:14" x14ac:dyDescent="0.3">
      <c r="B30" t="s">
        <v>101</v>
      </c>
      <c r="C30">
        <v>-15</v>
      </c>
      <c r="D30">
        <v>-3</v>
      </c>
      <c r="E30">
        <v>0</v>
      </c>
      <c r="F30">
        <v>-360</v>
      </c>
      <c r="G30">
        <v>-277</v>
      </c>
      <c r="H30">
        <v>0</v>
      </c>
      <c r="I30">
        <v>-99</v>
      </c>
      <c r="J30">
        <v>-188</v>
      </c>
      <c r="K30">
        <v>-55</v>
      </c>
      <c r="L30">
        <v>-208</v>
      </c>
      <c r="M30">
        <v>-85</v>
      </c>
      <c r="N30">
        <v>0</v>
      </c>
    </row>
    <row r="31" spans="2:14" x14ac:dyDescent="0.3">
      <c r="B31" t="s">
        <v>102</v>
      </c>
      <c r="C31">
        <v>-29</v>
      </c>
      <c r="D31">
        <v>-18</v>
      </c>
      <c r="E31">
        <v>-2</v>
      </c>
      <c r="F31">
        <v>-14</v>
      </c>
      <c r="G31">
        <v>-6</v>
      </c>
      <c r="H31">
        <v>-7</v>
      </c>
      <c r="I31">
        <v>-90</v>
      </c>
      <c r="J31">
        <v>-92</v>
      </c>
      <c r="K31">
        <v>-82</v>
      </c>
      <c r="L31">
        <v>-88</v>
      </c>
      <c r="M31">
        <v>-110</v>
      </c>
      <c r="N31">
        <v>-130</v>
      </c>
    </row>
    <row r="32" spans="2:14" x14ac:dyDescent="0.3">
      <c r="B32" t="s">
        <v>103</v>
      </c>
      <c r="C32">
        <v>-2481</v>
      </c>
      <c r="D32">
        <v>-2912</v>
      </c>
      <c r="E32">
        <v>-3354</v>
      </c>
      <c r="F32">
        <v>-3572</v>
      </c>
      <c r="G32">
        <v>-3911</v>
      </c>
      <c r="H32">
        <v>-4554</v>
      </c>
      <c r="I32">
        <v>-5196</v>
      </c>
      <c r="J32">
        <v>-8811</v>
      </c>
      <c r="K32">
        <v>-7526</v>
      </c>
      <c r="L32">
        <v>-8474</v>
      </c>
      <c r="M32">
        <v>-9416</v>
      </c>
      <c r="N32">
        <v>-12473</v>
      </c>
    </row>
    <row r="33" spans="2:14" x14ac:dyDescent="0.3">
      <c r="B33" t="s">
        <v>104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-373</v>
      </c>
      <c r="J33">
        <v>-406</v>
      </c>
      <c r="K33">
        <v>-407</v>
      </c>
      <c r="L33">
        <v>-467</v>
      </c>
      <c r="M33">
        <v>-423</v>
      </c>
      <c r="N33">
        <v>-498</v>
      </c>
    </row>
    <row r="34" spans="2:14" x14ac:dyDescent="0.3">
      <c r="B34" t="s">
        <v>105</v>
      </c>
      <c r="C34">
        <v>-437</v>
      </c>
      <c r="D34">
        <v>-533</v>
      </c>
      <c r="E34">
        <v>-685</v>
      </c>
      <c r="F34">
        <v>-728</v>
      </c>
      <c r="G34">
        <v>-781</v>
      </c>
      <c r="H34">
        <v>-928</v>
      </c>
      <c r="I34">
        <v>-1061</v>
      </c>
      <c r="J34">
        <v>0</v>
      </c>
      <c r="K34">
        <v>0</v>
      </c>
      <c r="L34">
        <v>-2</v>
      </c>
      <c r="M34">
        <v>0</v>
      </c>
      <c r="N34">
        <v>0</v>
      </c>
    </row>
    <row r="35" spans="2:14" x14ac:dyDescent="0.3">
      <c r="B35" t="s">
        <v>21</v>
      </c>
      <c r="C35">
        <v>383</v>
      </c>
      <c r="D35">
        <v>-33</v>
      </c>
      <c r="E35">
        <v>25</v>
      </c>
      <c r="F35">
        <v>-202</v>
      </c>
      <c r="G35">
        <v>21</v>
      </c>
      <c r="H35">
        <v>-28</v>
      </c>
      <c r="I35">
        <v>2595</v>
      </c>
      <c r="J35">
        <v>-1374</v>
      </c>
      <c r="K35">
        <v>-695</v>
      </c>
      <c r="L35">
        <v>-446</v>
      </c>
      <c r="M35">
        <v>111</v>
      </c>
      <c r="N35">
        <v>5258</v>
      </c>
    </row>
    <row r="36" spans="2:14" x14ac:dyDescent="0.3">
      <c r="B36" t="s">
        <v>290</v>
      </c>
      <c r="C36">
        <v>3441</v>
      </c>
      <c r="D36">
        <v>3246</v>
      </c>
      <c r="E36">
        <v>3460</v>
      </c>
      <c r="F36">
        <v>4248</v>
      </c>
      <c r="G36">
        <v>5196</v>
      </c>
      <c r="H36">
        <v>5046</v>
      </c>
      <c r="I36">
        <v>6813</v>
      </c>
      <c r="J36">
        <v>5097</v>
      </c>
      <c r="K36">
        <v>7995</v>
      </c>
      <c r="L36">
        <v>8980</v>
      </c>
      <c r="M36">
        <v>14012</v>
      </c>
      <c r="N36">
        <v>10624</v>
      </c>
    </row>
    <row r="37" spans="2:14" x14ac:dyDescent="0.3">
      <c r="B37" t="s">
        <v>291</v>
      </c>
      <c r="C37">
        <v>1.0900000000000001</v>
      </c>
      <c r="D37">
        <v>0.95</v>
      </c>
      <c r="E37">
        <v>1</v>
      </c>
      <c r="F37">
        <v>1.1100000000000001</v>
      </c>
      <c r="G37">
        <v>1.1100000000000001</v>
      </c>
      <c r="H37">
        <v>0.96</v>
      </c>
      <c r="I37">
        <v>1.03</v>
      </c>
      <c r="J37">
        <v>1</v>
      </c>
      <c r="K37">
        <v>0.92</v>
      </c>
      <c r="L37">
        <v>0.93</v>
      </c>
      <c r="M37">
        <v>1.08</v>
      </c>
      <c r="N37">
        <v>0.95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7956-D9A6-4C2A-BF28-5CDC8EFADFA4}">
  <dimension ref="A2:P46"/>
  <sheetViews>
    <sheetView showGridLines="0" zoomScaleNormal="100" workbookViewId="0">
      <selection activeCell="D2" sqref="D2:N2"/>
    </sheetView>
  </sheetViews>
  <sheetFormatPr defaultRowHeight="14.4" x14ac:dyDescent="0.3"/>
  <cols>
    <col min="1" max="1" width="1.88671875" customWidth="1"/>
    <col min="3" max="3" width="15.21875" bestFit="1" customWidth="1"/>
    <col min="4" max="4" width="7.6640625" style="45" bestFit="1" customWidth="1"/>
    <col min="5" max="5" width="18.109375" style="45" bestFit="1" customWidth="1"/>
    <col min="6" max="6" width="19.109375" style="45" bestFit="1" customWidth="1"/>
    <col min="7" max="7" width="18.109375" style="45" customWidth="1"/>
    <col min="8" max="8" width="13.6640625" style="45" bestFit="1" customWidth="1"/>
    <col min="9" max="10" width="13.6640625" style="45" customWidth="1"/>
    <col min="11" max="11" width="14.44140625" style="45" bestFit="1" customWidth="1"/>
    <col min="12" max="13" width="13.6640625" style="45" customWidth="1"/>
    <col min="14" max="14" width="14" style="45" bestFit="1" customWidth="1"/>
    <col min="15" max="15" width="12.6640625" style="45" bestFit="1" customWidth="1"/>
    <col min="16" max="16" width="13.6640625" style="45" bestFit="1" customWidth="1"/>
    <col min="17" max="16384" width="8.88671875" style="45"/>
  </cols>
  <sheetData>
    <row r="2" spans="2:16" x14ac:dyDescent="0.3">
      <c r="B2" s="170" t="s">
        <v>318</v>
      </c>
      <c r="C2" s="172" t="s">
        <v>319</v>
      </c>
      <c r="D2" s="171" t="s">
        <v>320</v>
      </c>
      <c r="E2" s="171" t="s">
        <v>370</v>
      </c>
      <c r="F2" s="171" t="s">
        <v>376</v>
      </c>
      <c r="G2" s="171" t="s">
        <v>321</v>
      </c>
      <c r="H2" s="171" t="s">
        <v>367</v>
      </c>
      <c r="I2" s="171" t="s">
        <v>343</v>
      </c>
      <c r="J2" s="171" t="s">
        <v>377</v>
      </c>
      <c r="K2" s="171" t="s">
        <v>368</v>
      </c>
      <c r="L2" s="171" t="s">
        <v>378</v>
      </c>
      <c r="M2" s="171" t="s">
        <v>65</v>
      </c>
      <c r="N2" s="171" t="s">
        <v>369</v>
      </c>
    </row>
    <row r="3" spans="2:16" x14ac:dyDescent="0.3">
      <c r="B3">
        <v>1</v>
      </c>
      <c r="C3" t="s">
        <v>315</v>
      </c>
      <c r="D3" s="103">
        <v>2155.3000000000002</v>
      </c>
      <c r="E3" s="103">
        <v>234.96</v>
      </c>
      <c r="F3" s="103">
        <f>D3*E3</f>
        <v>506409.28800000006</v>
      </c>
      <c r="G3" s="103">
        <v>1775</v>
      </c>
      <c r="H3" s="103">
        <v>7554</v>
      </c>
      <c r="I3" s="103">
        <f>G3-H3</f>
        <v>-5779</v>
      </c>
      <c r="J3" s="103">
        <f>F3+G3-H3</f>
        <v>500630.28800000006</v>
      </c>
      <c r="K3" s="103">
        <v>63121</v>
      </c>
      <c r="L3" s="157">
        <v>0.23079999999999998</v>
      </c>
      <c r="M3" s="103">
        <f>K3*L3</f>
        <v>14568.326799999999</v>
      </c>
      <c r="N3" s="103">
        <v>14540</v>
      </c>
    </row>
    <row r="4" spans="2:16" x14ac:dyDescent="0.3">
      <c r="B4">
        <v>2</v>
      </c>
      <c r="C4" t="s">
        <v>316</v>
      </c>
      <c r="D4" s="103">
        <v>304.25</v>
      </c>
      <c r="E4" s="103">
        <v>1252.95</v>
      </c>
      <c r="F4" s="103">
        <f t="shared" ref="F4:F46" si="0">D4*E4</f>
        <v>381210.03750000003</v>
      </c>
      <c r="G4" s="103">
        <v>362.97</v>
      </c>
      <c r="H4" s="103">
        <v>4012.36</v>
      </c>
      <c r="I4" s="103">
        <f t="shared" ref="I4:I12" si="1">G4-H4</f>
        <v>-3649.3900000000003</v>
      </c>
      <c r="J4" s="103">
        <f t="shared" ref="J4:J46" si="2">F4+G4-H4</f>
        <v>377560.64750000002</v>
      </c>
      <c r="K4" s="103">
        <v>75323.34</v>
      </c>
      <c r="L4" s="157">
        <v>0.3372</v>
      </c>
      <c r="M4" s="103">
        <f t="shared" ref="M4:M46" si="3">K4*L4</f>
        <v>25399.030247999999</v>
      </c>
      <c r="N4" s="103">
        <v>35356.29</v>
      </c>
      <c r="P4" s="80"/>
    </row>
    <row r="5" spans="2:16" x14ac:dyDescent="0.3">
      <c r="B5">
        <v>3</v>
      </c>
      <c r="C5" t="s">
        <v>322</v>
      </c>
      <c r="D5" s="103">
        <v>1249.3</v>
      </c>
      <c r="E5" s="103">
        <v>192.83</v>
      </c>
      <c r="F5" s="103">
        <f t="shared" si="0"/>
        <v>240902.519</v>
      </c>
      <c r="G5" s="103">
        <v>476.85</v>
      </c>
      <c r="H5" s="103">
        <v>95.65</v>
      </c>
      <c r="I5" s="103">
        <f t="shared" si="1"/>
        <v>381.20000000000005</v>
      </c>
      <c r="J5" s="103">
        <f t="shared" si="2"/>
        <v>241283.71900000001</v>
      </c>
      <c r="K5" s="103">
        <v>20201.560000000001</v>
      </c>
      <c r="L5" s="157">
        <v>0.22489999999999999</v>
      </c>
      <c r="M5" s="103">
        <f t="shared" si="3"/>
        <v>4543.3308440000001</v>
      </c>
      <c r="N5" s="103">
        <v>3315.9</v>
      </c>
      <c r="P5" s="80"/>
    </row>
    <row r="6" spans="2:16" x14ac:dyDescent="0.3">
      <c r="B6">
        <v>4</v>
      </c>
      <c r="C6" t="s">
        <v>323</v>
      </c>
      <c r="D6" s="103">
        <v>431.6</v>
      </c>
      <c r="E6" s="103">
        <v>338.21</v>
      </c>
      <c r="F6" s="103">
        <f t="shared" si="0"/>
        <v>145971.43599999999</v>
      </c>
      <c r="G6" s="103">
        <v>2508.1799999999998</v>
      </c>
      <c r="H6" s="103">
        <v>1998.49</v>
      </c>
      <c r="I6" s="103">
        <f t="shared" si="1"/>
        <v>509.68999999999983</v>
      </c>
      <c r="J6" s="103">
        <f t="shared" si="2"/>
        <v>146481.12599999999</v>
      </c>
      <c r="K6" s="103">
        <v>21685.37</v>
      </c>
      <c r="L6" s="157">
        <v>0.23379999999999998</v>
      </c>
      <c r="M6" s="103">
        <f t="shared" si="3"/>
        <v>5070.0395059999992</v>
      </c>
      <c r="N6" s="103">
        <v>3062.04</v>
      </c>
      <c r="P6" s="80"/>
    </row>
    <row r="7" spans="2:16" x14ac:dyDescent="0.3">
      <c r="B7">
        <v>5</v>
      </c>
      <c r="C7" t="s">
        <v>324</v>
      </c>
      <c r="D7" s="103">
        <v>5557.5</v>
      </c>
      <c r="E7" s="103">
        <v>24.09</v>
      </c>
      <c r="F7" s="103">
        <f t="shared" si="0"/>
        <v>133880.17499999999</v>
      </c>
      <c r="G7" s="103">
        <v>2196.3000000000002</v>
      </c>
      <c r="H7" s="103">
        <v>312.48</v>
      </c>
      <c r="I7" s="103">
        <f t="shared" si="1"/>
        <v>1883.8200000000002</v>
      </c>
      <c r="J7" s="103">
        <f t="shared" si="2"/>
        <v>135763.99499999997</v>
      </c>
      <c r="K7" s="103">
        <v>17942.669999999998</v>
      </c>
      <c r="L7" s="157">
        <v>0.1845</v>
      </c>
      <c r="M7" s="103">
        <f t="shared" si="3"/>
        <v>3310.4226149999995</v>
      </c>
      <c r="N7" s="103">
        <v>2416.46</v>
      </c>
      <c r="P7" s="80"/>
    </row>
    <row r="8" spans="2:16" x14ac:dyDescent="0.3">
      <c r="B8">
        <v>6</v>
      </c>
      <c r="C8" t="s">
        <v>325</v>
      </c>
      <c r="D8" s="103">
        <v>1078.0999999999999</v>
      </c>
      <c r="E8" s="103">
        <v>102.32</v>
      </c>
      <c r="F8" s="103">
        <f t="shared" si="0"/>
        <v>110311.19199999998</v>
      </c>
      <c r="G8" s="103">
        <v>4113.49</v>
      </c>
      <c r="H8" s="103">
        <v>483.06</v>
      </c>
      <c r="I8" s="103">
        <f t="shared" si="1"/>
        <v>3630.43</v>
      </c>
      <c r="J8" s="103">
        <f t="shared" si="2"/>
        <v>113941.62199999999</v>
      </c>
      <c r="K8" s="103">
        <v>14364.29</v>
      </c>
      <c r="L8" s="157">
        <v>0.20199999999999999</v>
      </c>
      <c r="M8" s="103">
        <f t="shared" si="3"/>
        <v>2901.5865800000001</v>
      </c>
      <c r="N8" s="103">
        <v>1821.6</v>
      </c>
      <c r="P8" s="80"/>
    </row>
    <row r="9" spans="2:16" x14ac:dyDescent="0.3">
      <c r="B9">
        <v>7</v>
      </c>
      <c r="C9" t="s">
        <v>353</v>
      </c>
      <c r="D9" s="103">
        <v>1093.7</v>
      </c>
      <c r="E9" s="103">
        <v>98.96</v>
      </c>
      <c r="F9" s="103">
        <f t="shared" si="0"/>
        <v>108232.552</v>
      </c>
      <c r="G9" s="103">
        <v>2576.11</v>
      </c>
      <c r="H9" s="103">
        <v>2817.86</v>
      </c>
      <c r="I9" s="103">
        <f t="shared" si="1"/>
        <v>-241.75</v>
      </c>
      <c r="J9" s="103">
        <f t="shared" si="2"/>
        <v>107990.802</v>
      </c>
      <c r="K9" s="103">
        <v>17618.3</v>
      </c>
      <c r="L9" s="157">
        <v>0.1346</v>
      </c>
      <c r="M9" s="103">
        <f t="shared" si="3"/>
        <v>2371.4231799999998</v>
      </c>
      <c r="N9" s="103">
        <v>1471.5</v>
      </c>
      <c r="P9" s="80"/>
    </row>
    <row r="10" spans="2:16" x14ac:dyDescent="0.3">
      <c r="B10">
        <v>8</v>
      </c>
      <c r="C10" t="s">
        <v>354</v>
      </c>
      <c r="D10" s="103">
        <v>763.25</v>
      </c>
      <c r="E10" s="103">
        <v>129.81</v>
      </c>
      <c r="F10" s="103">
        <f t="shared" si="0"/>
        <v>99077.482499999998</v>
      </c>
      <c r="G10" s="103">
        <v>575</v>
      </c>
      <c r="H10" s="103">
        <v>777</v>
      </c>
      <c r="I10" s="103">
        <f t="shared" si="1"/>
        <v>-202</v>
      </c>
      <c r="J10" s="103">
        <f t="shared" si="2"/>
        <v>98875.482499999998</v>
      </c>
      <c r="K10" s="103">
        <v>10831</v>
      </c>
      <c r="L10" s="157">
        <v>0.1741</v>
      </c>
      <c r="M10" s="103">
        <f t="shared" si="3"/>
        <v>1885.6771000000001</v>
      </c>
      <c r="N10" s="103">
        <v>1750</v>
      </c>
      <c r="P10" s="80"/>
    </row>
    <row r="11" spans="2:16" x14ac:dyDescent="0.3">
      <c r="B11">
        <v>9</v>
      </c>
      <c r="C11" t="s">
        <v>355</v>
      </c>
      <c r="D11" s="103">
        <v>1268.2</v>
      </c>
      <c r="E11" s="103">
        <v>72.739999999999995</v>
      </c>
      <c r="F11" s="103">
        <f t="shared" si="0"/>
        <v>92248.868000000002</v>
      </c>
      <c r="G11" s="103">
        <v>412</v>
      </c>
      <c r="H11" s="103">
        <v>2030</v>
      </c>
      <c r="I11" s="103">
        <f t="shared" si="1"/>
        <v>-1618</v>
      </c>
      <c r="J11" s="103">
        <f t="shared" si="2"/>
        <v>90630.868000000002</v>
      </c>
      <c r="K11" s="103">
        <v>12069</v>
      </c>
      <c r="L11" s="157">
        <v>0.18230000000000002</v>
      </c>
      <c r="M11" s="103">
        <f t="shared" si="3"/>
        <v>2200.1787000000004</v>
      </c>
      <c r="N11" s="103">
        <v>1720</v>
      </c>
      <c r="P11" s="80"/>
    </row>
    <row r="12" spans="2:16" x14ac:dyDescent="0.3">
      <c r="B12">
        <v>10</v>
      </c>
      <c r="C12" t="s">
        <v>356</v>
      </c>
      <c r="D12" s="103">
        <v>435.7</v>
      </c>
      <c r="E12" s="103">
        <v>177.37</v>
      </c>
      <c r="F12" s="103">
        <f t="shared" si="0"/>
        <v>77280.108999999997</v>
      </c>
      <c r="G12" s="103">
        <v>1301.43</v>
      </c>
      <c r="H12" s="103">
        <v>578.01</v>
      </c>
      <c r="I12" s="103">
        <f t="shared" si="1"/>
        <v>723.42000000000007</v>
      </c>
      <c r="J12" s="103">
        <f t="shared" si="2"/>
        <v>78003.528999999995</v>
      </c>
      <c r="K12" s="103">
        <v>12563.09</v>
      </c>
      <c r="L12" s="157">
        <v>0.18609999999999999</v>
      </c>
      <c r="M12" s="103">
        <f t="shared" si="3"/>
        <v>2337.9910489999997</v>
      </c>
      <c r="N12" s="103">
        <v>1819.42</v>
      </c>
      <c r="P12" s="80"/>
    </row>
    <row r="13" spans="2:16" x14ac:dyDescent="0.3">
      <c r="D13" s="103"/>
      <c r="E13" s="103"/>
      <c r="F13" s="103"/>
      <c r="G13" s="103"/>
      <c r="H13" s="103"/>
      <c r="I13" s="103"/>
      <c r="J13" s="103"/>
      <c r="K13" s="103"/>
      <c r="L13" s="157"/>
      <c r="M13" s="103"/>
      <c r="N13" s="103"/>
      <c r="P13" s="80"/>
    </row>
    <row r="14" spans="2:16" x14ac:dyDescent="0.3">
      <c r="D14" s="103"/>
      <c r="E14" s="103"/>
      <c r="F14" s="103"/>
      <c r="G14" s="103"/>
      <c r="H14" s="103"/>
      <c r="I14" s="103"/>
      <c r="J14" s="103"/>
      <c r="K14" s="103"/>
      <c r="L14" s="157"/>
      <c r="M14" s="103"/>
      <c r="N14" s="103"/>
      <c r="P14" s="80"/>
    </row>
    <row r="15" spans="2:16" x14ac:dyDescent="0.3">
      <c r="D15" s="103"/>
      <c r="E15" s="103"/>
      <c r="F15" s="103"/>
      <c r="G15" s="103"/>
      <c r="H15" s="103"/>
      <c r="I15" s="103"/>
      <c r="J15" s="103"/>
      <c r="K15" s="103"/>
      <c r="L15" s="157"/>
      <c r="M15" s="103"/>
      <c r="N15" s="103"/>
      <c r="P15" s="80"/>
    </row>
    <row r="16" spans="2:16" x14ac:dyDescent="0.3">
      <c r="D16" s="103"/>
      <c r="E16" s="103"/>
      <c r="F16" s="103"/>
      <c r="G16" s="103"/>
      <c r="H16" s="103"/>
      <c r="I16" s="103"/>
      <c r="J16" s="103"/>
      <c r="K16" s="103"/>
      <c r="L16" s="157"/>
      <c r="M16" s="103"/>
      <c r="N16" s="103"/>
      <c r="P16" s="80"/>
    </row>
    <row r="17" spans="2:16" x14ac:dyDescent="0.3">
      <c r="D17" s="103"/>
      <c r="E17" s="103"/>
      <c r="F17" s="103"/>
      <c r="G17" s="103"/>
      <c r="H17" s="103"/>
      <c r="I17" s="103"/>
      <c r="J17" s="103"/>
      <c r="K17" s="103"/>
      <c r="L17" s="157"/>
      <c r="M17" s="103"/>
      <c r="N17" s="103"/>
      <c r="P17" s="80"/>
    </row>
    <row r="18" spans="2:16" x14ac:dyDescent="0.3">
      <c r="D18" s="103"/>
      <c r="E18" s="103"/>
      <c r="F18" s="103"/>
      <c r="G18" s="103"/>
      <c r="H18" s="103"/>
      <c r="I18" s="103"/>
      <c r="J18" s="103"/>
      <c r="K18" s="103"/>
      <c r="L18" s="157"/>
      <c r="M18" s="103"/>
      <c r="N18" s="103"/>
      <c r="P18" s="80"/>
    </row>
    <row r="19" spans="2:16" x14ac:dyDescent="0.3">
      <c r="D19" s="103"/>
      <c r="E19" s="103"/>
      <c r="F19" s="103"/>
      <c r="G19" s="103"/>
      <c r="H19" s="103"/>
      <c r="I19" s="103"/>
      <c r="J19" s="103"/>
      <c r="K19" s="103"/>
      <c r="L19" s="157"/>
      <c r="M19" s="103"/>
      <c r="N19" s="103"/>
      <c r="P19" s="80"/>
    </row>
    <row r="20" spans="2:16" x14ac:dyDescent="0.3">
      <c r="D20" s="103"/>
      <c r="E20" s="103"/>
      <c r="F20" s="103"/>
      <c r="G20" s="103"/>
      <c r="H20" s="103"/>
      <c r="I20" s="103"/>
      <c r="J20" s="103"/>
      <c r="K20" s="103"/>
      <c r="L20" s="157"/>
      <c r="M20" s="103"/>
      <c r="N20" s="103"/>
      <c r="P20" s="80"/>
    </row>
    <row r="21" spans="2:16" x14ac:dyDescent="0.3">
      <c r="D21" s="103"/>
      <c r="E21" s="103"/>
      <c r="F21" s="103"/>
      <c r="G21" s="103"/>
      <c r="H21" s="103"/>
      <c r="I21" s="103"/>
      <c r="J21" s="103"/>
      <c r="K21" s="103"/>
      <c r="L21" s="157"/>
      <c r="M21" s="103"/>
      <c r="N21" s="103"/>
      <c r="P21" s="80"/>
    </row>
    <row r="22" spans="2:16" x14ac:dyDescent="0.3">
      <c r="D22" s="103"/>
      <c r="E22" s="103"/>
      <c r="F22" s="103"/>
      <c r="G22" s="103"/>
      <c r="H22" s="103"/>
      <c r="I22" s="103"/>
      <c r="J22" s="103"/>
      <c r="K22" s="103"/>
      <c r="L22" s="157"/>
      <c r="M22" s="103"/>
      <c r="N22" s="103"/>
      <c r="P22" s="80"/>
    </row>
    <row r="23" spans="2:16" x14ac:dyDescent="0.3">
      <c r="D23" s="103"/>
      <c r="E23" s="103"/>
      <c r="F23" s="103"/>
      <c r="G23" s="103"/>
      <c r="H23" s="103"/>
      <c r="I23" s="103"/>
      <c r="J23" s="103"/>
      <c r="K23" s="103"/>
      <c r="L23" s="157"/>
      <c r="M23" s="103"/>
      <c r="N23" s="103"/>
      <c r="P23" s="80"/>
    </row>
    <row r="24" spans="2:16" x14ac:dyDescent="0.3">
      <c r="D24" s="103"/>
      <c r="E24" s="103"/>
      <c r="F24" s="103"/>
      <c r="G24" s="103"/>
      <c r="H24" s="103"/>
      <c r="I24" s="103"/>
      <c r="J24" s="103"/>
      <c r="K24" s="103"/>
      <c r="L24" s="157"/>
      <c r="M24" s="103"/>
      <c r="N24" s="103"/>
      <c r="P24" s="80"/>
    </row>
    <row r="25" spans="2:16" x14ac:dyDescent="0.3">
      <c r="D25" s="103"/>
      <c r="E25" s="103"/>
      <c r="F25" s="103"/>
      <c r="G25" s="103"/>
      <c r="H25" s="103"/>
      <c r="I25" s="103"/>
      <c r="J25" s="103"/>
      <c r="K25" s="103"/>
      <c r="L25" s="157"/>
      <c r="M25" s="103"/>
      <c r="N25" s="103"/>
      <c r="P25" s="80"/>
    </row>
    <row r="26" spans="2:16" x14ac:dyDescent="0.3">
      <c r="D26" s="103"/>
      <c r="E26" s="103"/>
      <c r="F26" s="103"/>
      <c r="G26" s="103"/>
      <c r="H26" s="103"/>
      <c r="I26" s="103"/>
      <c r="J26" s="103"/>
      <c r="K26" s="103"/>
      <c r="L26" s="157"/>
      <c r="M26" s="103"/>
      <c r="N26" s="103"/>
      <c r="P26" s="80"/>
    </row>
    <row r="27" spans="2:16" x14ac:dyDescent="0.3">
      <c r="D27" s="103"/>
      <c r="E27" s="103"/>
      <c r="F27" s="103"/>
      <c r="G27" s="103"/>
      <c r="H27" s="103"/>
      <c r="I27" s="103"/>
      <c r="J27" s="103"/>
      <c r="K27" s="103"/>
      <c r="L27" s="157"/>
      <c r="M27" s="103"/>
      <c r="N27" s="103"/>
      <c r="P27" s="80"/>
    </row>
    <row r="28" spans="2:16" x14ac:dyDescent="0.3">
      <c r="D28" s="103"/>
      <c r="E28" s="103"/>
      <c r="F28" s="103"/>
      <c r="G28" s="103"/>
      <c r="H28" s="103"/>
      <c r="I28" s="103"/>
      <c r="J28" s="103"/>
      <c r="K28" s="103"/>
      <c r="L28" s="157"/>
      <c r="M28" s="103"/>
      <c r="N28" s="103"/>
      <c r="P28" s="80"/>
    </row>
    <row r="29" spans="2:16" x14ac:dyDescent="0.3">
      <c r="D29" s="103"/>
      <c r="E29" s="103"/>
      <c r="F29" s="103"/>
      <c r="G29" s="103"/>
      <c r="H29" s="103"/>
      <c r="I29" s="103"/>
      <c r="J29" s="103"/>
      <c r="K29" s="103"/>
      <c r="L29" s="157"/>
      <c r="M29" s="103"/>
      <c r="N29" s="103"/>
      <c r="P29" s="80"/>
    </row>
    <row r="30" spans="2:16" x14ac:dyDescent="0.3">
      <c r="D30" s="103"/>
      <c r="E30" s="103"/>
      <c r="F30" s="103"/>
      <c r="G30" s="103"/>
      <c r="H30" s="103"/>
      <c r="I30" s="103"/>
      <c r="J30" s="103"/>
      <c r="K30" s="103"/>
      <c r="L30" s="157"/>
      <c r="M30" s="103"/>
      <c r="N30" s="103"/>
      <c r="P30" s="80"/>
    </row>
    <row r="31" spans="2:16" x14ac:dyDescent="0.3">
      <c r="D31" s="103"/>
      <c r="E31" s="103"/>
      <c r="F31" s="103"/>
      <c r="G31" s="103"/>
      <c r="H31" s="103"/>
      <c r="I31" s="103"/>
      <c r="J31" s="103"/>
      <c r="K31" s="103"/>
      <c r="L31" s="157"/>
      <c r="M31" s="103"/>
      <c r="N31" s="103"/>
      <c r="P31" s="80"/>
    </row>
    <row r="32" spans="2:16" x14ac:dyDescent="0.3">
      <c r="B32">
        <v>11</v>
      </c>
      <c r="C32" t="s">
        <v>357</v>
      </c>
      <c r="D32" s="103">
        <v>1939.1</v>
      </c>
      <c r="E32" s="103">
        <v>27.2</v>
      </c>
      <c r="F32" s="103">
        <f t="shared" si="0"/>
        <v>52743.519999999997</v>
      </c>
      <c r="G32" s="103">
        <v>59.99</v>
      </c>
      <c r="H32" s="103">
        <v>1095.1300000000001</v>
      </c>
      <c r="I32" s="103"/>
      <c r="J32" s="103">
        <f t="shared" si="2"/>
        <v>51708.38</v>
      </c>
      <c r="K32" s="103">
        <v>6040.17</v>
      </c>
      <c r="L32" s="157">
        <v>0.31480000000000002</v>
      </c>
      <c r="M32" s="103">
        <f t="shared" si="3"/>
        <v>1901.4455160000002</v>
      </c>
      <c r="N32" s="103">
        <v>1326.99</v>
      </c>
      <c r="P32" s="80"/>
    </row>
    <row r="33" spans="2:16" x14ac:dyDescent="0.3">
      <c r="B33">
        <v>12</v>
      </c>
      <c r="C33" t="s">
        <v>358</v>
      </c>
      <c r="D33" s="103">
        <v>467.35</v>
      </c>
      <c r="E33" s="103">
        <v>108.81</v>
      </c>
      <c r="F33" s="103">
        <f t="shared" si="0"/>
        <v>50852.353500000005</v>
      </c>
      <c r="G33" s="103">
        <v>2895.22</v>
      </c>
      <c r="H33" s="103">
        <v>275.3</v>
      </c>
      <c r="I33" s="103"/>
      <c r="J33" s="103">
        <f t="shared" si="2"/>
        <v>53472.273500000003</v>
      </c>
      <c r="K33" s="103">
        <v>34156.97</v>
      </c>
      <c r="L33" s="157">
        <v>4.7100000000000003E-2</v>
      </c>
      <c r="M33" s="103">
        <f t="shared" si="3"/>
        <v>1608.7932870000002</v>
      </c>
      <c r="N33" s="103">
        <v>1649.39</v>
      </c>
      <c r="P33" s="80"/>
    </row>
    <row r="34" spans="2:16" x14ac:dyDescent="0.3">
      <c r="B34">
        <v>13</v>
      </c>
      <c r="C34" t="s">
        <v>359</v>
      </c>
      <c r="D34" s="103">
        <v>1454.2</v>
      </c>
      <c r="E34" s="103">
        <v>26.44</v>
      </c>
      <c r="F34" s="103">
        <f t="shared" si="0"/>
        <v>38449.048000000003</v>
      </c>
      <c r="G34" s="103">
        <v>776.87</v>
      </c>
      <c r="H34" s="103">
        <v>442.88</v>
      </c>
      <c r="I34" s="103"/>
      <c r="J34" s="103">
        <f t="shared" si="2"/>
        <v>38783.038000000008</v>
      </c>
      <c r="K34" s="103">
        <v>8915.09</v>
      </c>
      <c r="L34" s="157">
        <v>9.1600000000000001E-2</v>
      </c>
      <c r="M34" s="103">
        <f t="shared" si="3"/>
        <v>816.62224400000002</v>
      </c>
      <c r="N34" s="103">
        <v>409.28</v>
      </c>
      <c r="P34" s="80"/>
    </row>
    <row r="35" spans="2:16" x14ac:dyDescent="0.3">
      <c r="B35">
        <v>14</v>
      </c>
      <c r="C35" t="s">
        <v>360</v>
      </c>
      <c r="D35" s="103">
        <v>2792.7</v>
      </c>
      <c r="E35" s="103">
        <v>13.39</v>
      </c>
      <c r="F35" s="103">
        <f t="shared" si="0"/>
        <v>37394.252999999997</v>
      </c>
      <c r="G35" s="103">
        <v>623.5</v>
      </c>
      <c r="H35" s="103">
        <v>57.15</v>
      </c>
      <c r="I35" s="103"/>
      <c r="J35" s="103">
        <f t="shared" si="2"/>
        <v>37960.602999999996</v>
      </c>
      <c r="K35" s="103">
        <v>4842.6400000000003</v>
      </c>
      <c r="L35" s="157">
        <v>0.15629999999999999</v>
      </c>
      <c r="M35" s="103">
        <f t="shared" si="3"/>
        <v>756.90463199999999</v>
      </c>
      <c r="N35" s="103">
        <v>518.1</v>
      </c>
      <c r="P35" s="80"/>
    </row>
    <row r="36" spans="2:16" x14ac:dyDescent="0.3">
      <c r="B36">
        <v>15</v>
      </c>
      <c r="C36" t="s">
        <v>361</v>
      </c>
      <c r="D36" s="103">
        <v>2101.6</v>
      </c>
      <c r="E36" s="103">
        <v>15.6</v>
      </c>
      <c r="F36" s="103">
        <f t="shared" si="0"/>
        <v>32784.959999999999</v>
      </c>
      <c r="G36" s="103">
        <v>175.26</v>
      </c>
      <c r="H36" s="103">
        <v>30.3</v>
      </c>
      <c r="I36" s="103"/>
      <c r="J36" s="103">
        <f t="shared" si="2"/>
        <v>32929.919999999998</v>
      </c>
      <c r="K36" s="103">
        <v>5611.01</v>
      </c>
      <c r="L36" s="157">
        <v>0.21059999999999998</v>
      </c>
      <c r="M36" s="103">
        <f t="shared" si="3"/>
        <v>1181.6787059999999</v>
      </c>
      <c r="N36" s="103">
        <v>1284.17</v>
      </c>
      <c r="P36" s="80"/>
    </row>
    <row r="37" spans="2:16" x14ac:dyDescent="0.3">
      <c r="B37">
        <v>16</v>
      </c>
      <c r="C37" t="s">
        <v>362</v>
      </c>
      <c r="D37" s="103">
        <v>9788</v>
      </c>
      <c r="E37" s="103">
        <v>3.25</v>
      </c>
      <c r="F37" s="103">
        <f t="shared" si="0"/>
        <v>31811</v>
      </c>
      <c r="G37" s="103">
        <v>2.06</v>
      </c>
      <c r="H37" s="103">
        <v>480.7</v>
      </c>
      <c r="I37" s="103"/>
      <c r="J37" s="103">
        <f t="shared" si="2"/>
        <v>31332.36</v>
      </c>
      <c r="K37" s="103">
        <v>3374.42</v>
      </c>
      <c r="L37" s="157">
        <v>0.26780000000000004</v>
      </c>
      <c r="M37" s="103">
        <f t="shared" si="3"/>
        <v>903.66967600000009</v>
      </c>
      <c r="N37" s="103">
        <v>859.48</v>
      </c>
      <c r="P37" s="80"/>
    </row>
    <row r="38" spans="2:16" x14ac:dyDescent="0.3">
      <c r="B38">
        <v>17</v>
      </c>
      <c r="C38" t="s">
        <v>363</v>
      </c>
      <c r="D38" s="103">
        <v>7704</v>
      </c>
      <c r="E38" s="103">
        <v>3.26</v>
      </c>
      <c r="F38" s="103">
        <f t="shared" si="0"/>
        <v>25115.039999999997</v>
      </c>
      <c r="G38" s="103">
        <v>0.05</v>
      </c>
      <c r="H38" s="103">
        <v>419.14</v>
      </c>
      <c r="I38" s="103"/>
      <c r="J38" s="103">
        <f t="shared" si="2"/>
        <v>24695.949999999997</v>
      </c>
      <c r="K38" s="103">
        <v>2234.84</v>
      </c>
      <c r="L38" s="157">
        <v>0.28989999999999999</v>
      </c>
      <c r="M38" s="103">
        <f t="shared" si="3"/>
        <v>647.88011600000004</v>
      </c>
      <c r="N38" s="103">
        <v>620.48</v>
      </c>
      <c r="P38" s="80"/>
    </row>
    <row r="39" spans="2:16" x14ac:dyDescent="0.3">
      <c r="B39">
        <v>18</v>
      </c>
      <c r="C39" t="s">
        <v>364</v>
      </c>
      <c r="D39" s="103">
        <v>182.26</v>
      </c>
      <c r="E39" s="103">
        <v>129.97</v>
      </c>
      <c r="F39" s="103">
        <f t="shared" si="0"/>
        <v>23688.332199999997</v>
      </c>
      <c r="G39" s="103">
        <v>1095.97</v>
      </c>
      <c r="H39" s="103">
        <v>2325.14</v>
      </c>
      <c r="I39" s="103"/>
      <c r="J39" s="103">
        <f t="shared" si="2"/>
        <v>22459.162199999999</v>
      </c>
      <c r="K39" s="103">
        <v>63672.24</v>
      </c>
      <c r="L39" s="157">
        <v>2.8900000000000002E-2</v>
      </c>
      <c r="M39" s="103">
        <f t="shared" si="3"/>
        <v>1840.1277360000001</v>
      </c>
      <c r="N39" s="103">
        <v>942.49</v>
      </c>
      <c r="P39" s="80"/>
    </row>
    <row r="40" spans="2:16" x14ac:dyDescent="0.3">
      <c r="B40">
        <v>19</v>
      </c>
      <c r="C40" t="s">
        <v>365</v>
      </c>
      <c r="D40" s="103">
        <v>924.35</v>
      </c>
      <c r="E40" s="103">
        <v>22.27</v>
      </c>
      <c r="F40" s="103">
        <f t="shared" si="0"/>
        <v>20585.2745</v>
      </c>
      <c r="G40" s="103">
        <v>2009.95</v>
      </c>
      <c r="H40" s="103">
        <v>61.84</v>
      </c>
      <c r="I40" s="103"/>
      <c r="J40" s="103">
        <f t="shared" si="2"/>
        <v>22533.3845</v>
      </c>
      <c r="K40" s="103">
        <v>8667.24</v>
      </c>
      <c r="L40" s="157">
        <v>0.12560000000000002</v>
      </c>
      <c r="M40" s="103">
        <f t="shared" si="3"/>
        <v>1088.6053440000001</v>
      </c>
      <c r="N40" s="103">
        <v>385.04</v>
      </c>
      <c r="P40" s="80"/>
    </row>
    <row r="41" spans="2:16" x14ac:dyDescent="0.3">
      <c r="B41">
        <v>20</v>
      </c>
      <c r="C41" t="s">
        <v>366</v>
      </c>
      <c r="D41" s="103">
        <v>1459.1</v>
      </c>
      <c r="E41" s="103">
        <v>13.62</v>
      </c>
      <c r="F41" s="103">
        <f t="shared" si="0"/>
        <v>19872.941999999999</v>
      </c>
      <c r="G41" s="103">
        <v>15.02</v>
      </c>
      <c r="H41" s="103">
        <v>898.66</v>
      </c>
      <c r="I41" s="103"/>
      <c r="J41" s="103">
        <f t="shared" si="2"/>
        <v>18989.302</v>
      </c>
      <c r="K41" s="103">
        <v>5612.26</v>
      </c>
      <c r="L41" s="157">
        <v>0.12710000000000002</v>
      </c>
      <c r="M41" s="103">
        <f t="shared" si="3"/>
        <v>713.31824600000016</v>
      </c>
      <c r="N41" s="103">
        <v>675.14</v>
      </c>
      <c r="P41" s="80"/>
    </row>
    <row r="42" spans="2:16" x14ac:dyDescent="0.3">
      <c r="B42">
        <v>21</v>
      </c>
      <c r="C42" t="s">
        <v>371</v>
      </c>
      <c r="D42" s="103">
        <v>424.15</v>
      </c>
      <c r="E42" s="103">
        <v>43.65</v>
      </c>
      <c r="F42" s="103">
        <f t="shared" si="0"/>
        <v>18514.147499999999</v>
      </c>
      <c r="G42" s="103">
        <v>71.959999999999994</v>
      </c>
      <c r="H42" s="103">
        <v>272.89999999999998</v>
      </c>
      <c r="I42" s="103"/>
      <c r="J42" s="103">
        <f t="shared" si="2"/>
        <v>18313.207499999997</v>
      </c>
      <c r="K42" s="103">
        <v>3809.19</v>
      </c>
      <c r="L42" s="157">
        <v>0.25980000000000003</v>
      </c>
      <c r="M42" s="103">
        <f t="shared" si="3"/>
        <v>989.62756200000013</v>
      </c>
      <c r="N42" s="103">
        <v>794.26</v>
      </c>
    </row>
    <row r="43" spans="2:16" x14ac:dyDescent="0.3">
      <c r="B43">
        <v>22</v>
      </c>
      <c r="C43" t="s">
        <v>372</v>
      </c>
      <c r="D43" s="103">
        <v>640.6</v>
      </c>
      <c r="E43" s="103">
        <v>25.07</v>
      </c>
      <c r="F43" s="103">
        <f t="shared" si="0"/>
        <v>16059.842000000001</v>
      </c>
      <c r="G43" s="103">
        <v>309.73</v>
      </c>
      <c r="H43" s="103">
        <v>219.05</v>
      </c>
      <c r="I43" s="103"/>
      <c r="J43" s="103">
        <f t="shared" si="2"/>
        <v>16150.522000000001</v>
      </c>
      <c r="K43" s="103">
        <v>2621.85</v>
      </c>
      <c r="L43" s="157">
        <v>0.1376</v>
      </c>
      <c r="M43" s="103">
        <f t="shared" si="3"/>
        <v>360.76655999999997</v>
      </c>
      <c r="N43" s="103">
        <v>238.46</v>
      </c>
    </row>
    <row r="44" spans="2:16" x14ac:dyDescent="0.3">
      <c r="B44">
        <v>23</v>
      </c>
      <c r="C44" t="s">
        <v>373</v>
      </c>
      <c r="D44" s="103">
        <v>489.75</v>
      </c>
      <c r="E44" s="103">
        <v>31.82</v>
      </c>
      <c r="F44" s="103">
        <f t="shared" si="0"/>
        <v>15583.844999999999</v>
      </c>
      <c r="G44" s="103">
        <v>3042</v>
      </c>
      <c r="H44" s="103">
        <v>73.900000000000006</v>
      </c>
      <c r="I44" s="103"/>
      <c r="J44" s="103">
        <f t="shared" si="2"/>
        <v>18551.945</v>
      </c>
      <c r="K44" s="103">
        <v>2708.9</v>
      </c>
      <c r="L44" s="157">
        <v>0.12670000000000001</v>
      </c>
      <c r="M44" s="103">
        <f t="shared" si="3"/>
        <v>343.21763000000004</v>
      </c>
      <c r="N44" s="103">
        <v>207.1</v>
      </c>
    </row>
    <row r="45" spans="2:16" x14ac:dyDescent="0.3">
      <c r="B45">
        <v>24</v>
      </c>
      <c r="C45" t="s">
        <v>374</v>
      </c>
      <c r="D45" s="103">
        <v>854.5</v>
      </c>
      <c r="E45" s="103">
        <v>17.79</v>
      </c>
      <c r="F45" s="103">
        <f t="shared" si="0"/>
        <v>15201.554999999998</v>
      </c>
      <c r="G45" s="103">
        <v>2665.73</v>
      </c>
      <c r="H45" s="103">
        <v>3691.01</v>
      </c>
      <c r="I45" s="103"/>
      <c r="J45" s="103">
        <f t="shared" si="2"/>
        <v>14176.275</v>
      </c>
      <c r="K45" s="103">
        <v>31608.61</v>
      </c>
      <c r="L45" s="157">
        <v>8.9399999999999993E-2</v>
      </c>
      <c r="M45" s="103">
        <f t="shared" si="3"/>
        <v>2825.8097339999999</v>
      </c>
      <c r="N45" s="103">
        <v>2207.06</v>
      </c>
    </row>
    <row r="46" spans="2:16" x14ac:dyDescent="0.3">
      <c r="B46">
        <v>25</v>
      </c>
      <c r="C46" t="s">
        <v>375</v>
      </c>
      <c r="D46" s="103">
        <v>2408.6</v>
      </c>
      <c r="E46" s="103">
        <v>6.07</v>
      </c>
      <c r="F46" s="103">
        <f t="shared" si="0"/>
        <v>14620.201999999999</v>
      </c>
      <c r="G46" s="103">
        <v>161.43</v>
      </c>
      <c r="H46" s="103">
        <v>225.37</v>
      </c>
      <c r="I46" s="103"/>
      <c r="J46" s="103">
        <f t="shared" si="2"/>
        <v>14556.261999999999</v>
      </c>
      <c r="K46" s="103">
        <v>1912.63</v>
      </c>
      <c r="L46" s="157">
        <v>0.17480000000000001</v>
      </c>
      <c r="M46" s="103">
        <f t="shared" si="3"/>
        <v>334.32772400000005</v>
      </c>
      <c r="N46" s="103">
        <v>232.65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10</vt:i4>
      </vt:variant>
    </vt:vector>
  </HeadingPairs>
  <TitlesOfParts>
    <vt:vector size="27" baseType="lpstr">
      <vt:lpstr>DCF</vt:lpstr>
      <vt:lpstr>Relative Valuation</vt:lpstr>
      <vt:lpstr>WACC</vt:lpstr>
      <vt:lpstr>Forecasting</vt:lpstr>
      <vt:lpstr>Intrinsic growth</vt:lpstr>
      <vt:lpstr>Financials &gt;</vt:lpstr>
      <vt:lpstr>Historicals</vt:lpstr>
      <vt:lpstr>Common Size</vt:lpstr>
      <vt:lpstr>Ratio Analysis</vt:lpstr>
      <vt:lpstr>Beta Calculation</vt:lpstr>
      <vt:lpstr>Peer Beta</vt:lpstr>
      <vt:lpstr>Rm</vt:lpstr>
      <vt:lpstr>Data &gt;</vt:lpstr>
      <vt:lpstr>Data Sheet</vt:lpstr>
      <vt:lpstr>RAW FS</vt:lpstr>
      <vt:lpstr>Cash Flow Data</vt:lpstr>
      <vt:lpstr>Market Data</vt:lpstr>
      <vt:lpstr>'Beta Calculation'!Print_Area</vt:lpstr>
      <vt:lpstr>'Common Size'!Print_Area</vt:lpstr>
      <vt:lpstr>DCF!Print_Area</vt:lpstr>
      <vt:lpstr>Forecasting!Print_Area</vt:lpstr>
      <vt:lpstr>Historicals!Print_Area</vt:lpstr>
      <vt:lpstr>'Intrinsic growth'!Print_Area</vt:lpstr>
      <vt:lpstr>'Ratio Analysis'!Print_Area</vt:lpstr>
      <vt:lpstr>'Relative Valuation'!Print_Area</vt:lpstr>
      <vt:lpstr>WACC!Print_Area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Garg</dc:creator>
  <cp:lastModifiedBy>Saksham Garg</cp:lastModifiedBy>
  <cp:lastPrinted>2026-06-07T11:57:38Z</cp:lastPrinted>
  <dcterms:created xsi:type="dcterms:W3CDTF">2012-08-17T09:55:37Z</dcterms:created>
  <dcterms:modified xsi:type="dcterms:W3CDTF">2026-06-09T07:26:48Z</dcterms:modified>
</cp:coreProperties>
</file>